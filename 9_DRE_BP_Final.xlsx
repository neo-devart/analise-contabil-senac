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usa\OneDrive\Desktop\backup_08Abr26\Neusa_PI_Oficial\"/>
    </mc:Choice>
  </mc:AlternateContent>
  <xr:revisionPtr revIDLastSave="0" documentId="13_ncr:1_{02444B30-6700-43C5-9749-A5C20D05D2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nstração do Resultado" sheetId="4" r:id="rId1"/>
    <sheet name="Balanço Patrimonial" sheetId="2" r:id="rId2"/>
    <sheet name="Índices " sheetId="8" state="hidden" r:id="rId3"/>
    <sheet name="Índices_Liquidez" sheetId="9" r:id="rId4"/>
    <sheet name="Índices_Rentabilidade" sheetId="7" r:id="rId5"/>
    <sheet name="DRE_EBITDA" sheetId="1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fnyO+S2MU2i/D5xxehCCej097C3FvY1W0f/p2CorUN8="/>
    </ext>
  </extLst>
</workbook>
</file>

<file path=xl/calcChain.xml><?xml version="1.0" encoding="utf-8"?>
<calcChain xmlns="http://schemas.openxmlformats.org/spreadsheetml/2006/main">
  <c r="G35" i="2" l="1"/>
  <c r="G34" i="2"/>
  <c r="G33" i="2"/>
  <c r="G32" i="2"/>
  <c r="G30" i="2"/>
  <c r="G25" i="2"/>
  <c r="G24" i="2"/>
  <c r="G23" i="2"/>
  <c r="G22" i="2"/>
  <c r="G21" i="2"/>
  <c r="G20" i="2"/>
  <c r="G19" i="2"/>
  <c r="G18" i="2"/>
  <c r="G17" i="2"/>
  <c r="G16" i="2"/>
  <c r="G11" i="2"/>
  <c r="G10" i="2"/>
  <c r="G9" i="2"/>
  <c r="G7" i="2"/>
  <c r="G5" i="2"/>
  <c r="G37" i="4"/>
  <c r="G35" i="4"/>
  <c r="G33" i="4"/>
  <c r="G23" i="4"/>
  <c r="G10" i="4"/>
  <c r="G9" i="4"/>
  <c r="G8" i="4"/>
  <c r="G6" i="4"/>
  <c r="G4" i="4"/>
  <c r="L9" i="9"/>
  <c r="L10" i="8"/>
  <c r="C29" i="2"/>
  <c r="E29" i="2"/>
  <c r="F36" i="4"/>
  <c r="D36" i="4"/>
  <c r="F34" i="4"/>
  <c r="D34" i="4"/>
  <c r="E23" i="4"/>
  <c r="C23" i="4"/>
  <c r="E10" i="4"/>
  <c r="F10" i="4" s="1"/>
  <c r="C10" i="4"/>
  <c r="E6" i="4"/>
  <c r="F6" i="4" s="1"/>
  <c r="C6" i="4"/>
  <c r="G11" i="1"/>
  <c r="G10" i="1"/>
  <c r="G38" i="1"/>
  <c r="G36" i="1"/>
  <c r="G34" i="1"/>
  <c r="G24" i="1"/>
  <c r="G9" i="1"/>
  <c r="G7" i="1"/>
  <c r="G5" i="1"/>
  <c r="F24" i="1"/>
  <c r="F11" i="1"/>
  <c r="F9" i="1"/>
  <c r="F7" i="1"/>
  <c r="D7" i="1"/>
  <c r="D34" i="1"/>
  <c r="D24" i="1"/>
  <c r="D11" i="1"/>
  <c r="D10" i="1"/>
  <c r="D9" i="1"/>
  <c r="E34" i="1"/>
  <c r="E10" i="1"/>
  <c r="E11" i="1"/>
  <c r="E24" i="1"/>
  <c r="E7" i="1"/>
  <c r="E9" i="1" s="1"/>
  <c r="C24" i="1"/>
  <c r="C10" i="1" s="1"/>
  <c r="C11" i="1"/>
  <c r="C7" i="1"/>
  <c r="C9" i="1" s="1"/>
  <c r="E25" i="2"/>
  <c r="E13" i="2"/>
  <c r="C9" i="4" l="1"/>
  <c r="D9" i="4" s="1"/>
  <c r="E9" i="4"/>
  <c r="F9" i="4" s="1"/>
  <c r="D23" i="4"/>
  <c r="C8" i="4"/>
  <c r="E8" i="4"/>
  <c r="F23" i="4"/>
  <c r="D10" i="4"/>
  <c r="D6" i="4"/>
  <c r="C34" i="1"/>
  <c r="C13" i="2"/>
  <c r="C34" i="2"/>
  <c r="C25" i="2"/>
  <c r="C33" i="4" l="1"/>
  <c r="D8" i="4"/>
  <c r="E33" i="4"/>
  <c r="F8" i="4"/>
  <c r="N62" i="1"/>
  <c r="I62" i="1"/>
  <c r="C53" i="1"/>
  <c r="C7" i="2"/>
  <c r="C14" i="2" s="1"/>
  <c r="D37" i="1"/>
  <c r="D35" i="1"/>
  <c r="E34" i="2"/>
  <c r="E7" i="2"/>
  <c r="E14" i="2" s="1"/>
  <c r="E53" i="1"/>
  <c r="F37" i="1"/>
  <c r="F35" i="1"/>
  <c r="F10" i="1"/>
  <c r="D33" i="4" l="1"/>
  <c r="C35" i="4"/>
  <c r="F33" i="4"/>
  <c r="E35" i="4"/>
  <c r="F9" i="2"/>
  <c r="F11" i="2"/>
  <c r="F10" i="2"/>
  <c r="F13" i="2"/>
  <c r="D11" i="2"/>
  <c r="D10" i="2"/>
  <c r="D9" i="2"/>
  <c r="D13" i="2"/>
  <c r="G13" i="2"/>
  <c r="C30" i="2"/>
  <c r="E30" i="2"/>
  <c r="D35" i="4" l="1"/>
  <c r="C37" i="4"/>
  <c r="D37" i="4" s="1"/>
  <c r="F35" i="4"/>
  <c r="E37" i="4"/>
  <c r="C35" i="2"/>
  <c r="D29" i="2" s="1"/>
  <c r="G14" i="2"/>
  <c r="C36" i="1"/>
  <c r="D36" i="1" s="1"/>
  <c r="D7" i="2"/>
  <c r="D5" i="2"/>
  <c r="D6" i="2"/>
  <c r="F7" i="2"/>
  <c r="E35" i="2"/>
  <c r="F29" i="2" s="1"/>
  <c r="F6" i="2"/>
  <c r="F5" i="2"/>
  <c r="E36" i="1"/>
  <c r="F34" i="1"/>
  <c r="F30" i="2" l="1"/>
  <c r="F23" i="2"/>
  <c r="F24" i="2"/>
  <c r="F37" i="4"/>
  <c r="D19" i="2"/>
  <c r="D24" i="2"/>
  <c r="D23" i="2"/>
  <c r="D18" i="2"/>
  <c r="D33" i="2"/>
  <c r="D28" i="2"/>
  <c r="D22" i="2"/>
  <c r="D17" i="2"/>
  <c r="D21" i="2"/>
  <c r="D30" i="2"/>
  <c r="D25" i="2"/>
  <c r="D16" i="2"/>
  <c r="D20" i="2"/>
  <c r="D32" i="2"/>
  <c r="D34" i="2"/>
  <c r="C38" i="1"/>
  <c r="D38" i="1" s="1"/>
  <c r="F32" i="2"/>
  <c r="F22" i="2"/>
  <c r="F21" i="2"/>
  <c r="F20" i="2"/>
  <c r="F33" i="2"/>
  <c r="F19" i="2"/>
  <c r="F18" i="2"/>
  <c r="F28" i="2"/>
  <c r="F17" i="2"/>
  <c r="F16" i="2"/>
  <c r="F25" i="2"/>
  <c r="F34" i="2"/>
  <c r="E38" i="1"/>
  <c r="F38" i="1" s="1"/>
  <c r="F36" i="1"/>
</calcChain>
</file>

<file path=xl/sharedStrings.xml><?xml version="1.0" encoding="utf-8"?>
<sst xmlns="http://schemas.openxmlformats.org/spreadsheetml/2006/main" count="242" uniqueCount="132">
  <si>
    <t>Valor em</t>
  </si>
  <si>
    <t>Análise</t>
  </si>
  <si>
    <t xml:space="preserve">Análise </t>
  </si>
  <si>
    <t>Vertical %</t>
  </si>
  <si>
    <t>31/06/2025</t>
  </si>
  <si>
    <t>Horizontal %</t>
  </si>
  <si>
    <t>Ativo Circulante</t>
  </si>
  <si>
    <t>Caixa e equivalentes de Caixa</t>
  </si>
  <si>
    <t>Outros</t>
  </si>
  <si>
    <t>Total do ativo circulante</t>
  </si>
  <si>
    <t>Ativo Não Circulante</t>
  </si>
  <si>
    <t>Móveis e Utensílios</t>
  </si>
  <si>
    <t>Computadores e Periféricos</t>
  </si>
  <si>
    <t>(-) Depreciação Acumulada</t>
  </si>
  <si>
    <t>Intangível</t>
  </si>
  <si>
    <t>Total do Ativo Não Circulante</t>
  </si>
  <si>
    <t>Total do Ativo</t>
  </si>
  <si>
    <t>Passivo Circulante</t>
  </si>
  <si>
    <t>Contas a Pagar</t>
  </si>
  <si>
    <t>Salários a Pagar</t>
  </si>
  <si>
    <t>VT a Pagar</t>
  </si>
  <si>
    <t>13º Sal. a Pagar</t>
  </si>
  <si>
    <t>Férias a Pagar</t>
  </si>
  <si>
    <t>FGTS a Recolher</t>
  </si>
  <si>
    <t>INSS a Recolher</t>
  </si>
  <si>
    <t>ProLabore a Pagar</t>
  </si>
  <si>
    <t>IPTU a Pagar</t>
  </si>
  <si>
    <t>Total do passivo circulante</t>
  </si>
  <si>
    <t>Passivo Não Circulante</t>
  </si>
  <si>
    <t>Imposto de renda e contribuição social diferidos</t>
  </si>
  <si>
    <t>Outras obrigações</t>
  </si>
  <si>
    <t>Total do passivo não cirulante</t>
  </si>
  <si>
    <t>Total do passivo</t>
  </si>
  <si>
    <t>Patrimônio líquido</t>
  </si>
  <si>
    <t>Capital social</t>
  </si>
  <si>
    <t>Lucros / Prejuízos Acumulados</t>
  </si>
  <si>
    <t>Total do patrimônio líquido</t>
  </si>
  <si>
    <t>Total do passivo e do patrimônio Líquido</t>
  </si>
  <si>
    <r>
      <t xml:space="preserve">   </t>
    </r>
    <r>
      <rPr>
        <b/>
        <sz val="14"/>
        <color rgb="FFFF0000"/>
        <rFont val="Aptos Narrow"/>
        <family val="2"/>
      </rPr>
      <t>Neusa Oliveira 27/03/2026</t>
    </r>
  </si>
  <si>
    <t xml:space="preserve">Valor em </t>
  </si>
  <si>
    <t>Vertical 100%</t>
  </si>
  <si>
    <t>Receita de Prestação de Serviços</t>
  </si>
  <si>
    <t>(-) Impostos sobre Serviços Prestados</t>
  </si>
  <si>
    <t>(=) Receita Operacional Líquida</t>
  </si>
  <si>
    <t>(-) Custos Serviços Prestados</t>
  </si>
  <si>
    <t>(=) Lucro Bruto</t>
  </si>
  <si>
    <t>(-)Gastos e  Despesas</t>
  </si>
  <si>
    <t>(-) Despesas Administrativas</t>
  </si>
  <si>
    <t>Despesa Água e Esgoto</t>
  </si>
  <si>
    <t>Despesa Energia Elétrica</t>
  </si>
  <si>
    <t>Despesa Limpeza e Copa</t>
  </si>
  <si>
    <t>Despesa Material de Escritório</t>
  </si>
  <si>
    <t>Desp. Taxas e Registros (JUCESP/Alvará/CRC)</t>
  </si>
  <si>
    <t>Despesa Manutenção e Reformas no Imóvel</t>
  </si>
  <si>
    <t>Despesa com Equipamento de Segurança</t>
  </si>
  <si>
    <t>Despesa com IPTU</t>
  </si>
  <si>
    <t>Despesa com Telefone e Internet</t>
  </si>
  <si>
    <t>Despesa com Publicidade/Redes Sociais</t>
  </si>
  <si>
    <t>Despesa com Pró-labore</t>
  </si>
  <si>
    <t>Despesa com depreciação</t>
  </si>
  <si>
    <t>(-) Despesas Operacionais</t>
  </si>
  <si>
    <t>Despesas com Veículos (Combustível)</t>
  </si>
  <si>
    <t>Despesa com Salários</t>
  </si>
  <si>
    <t>Despesa c/ 13º Sal.</t>
  </si>
  <si>
    <t>Despesa c/ Férias</t>
  </si>
  <si>
    <t>Despesa c/ FGTS</t>
  </si>
  <si>
    <t>Despesa c/ VT</t>
  </si>
  <si>
    <t>Despesa c/ VR</t>
  </si>
  <si>
    <t>Despesa c/ INSS</t>
  </si>
  <si>
    <t>(-) Outras Despesas</t>
  </si>
  <si>
    <t>(=) Lucro Operacional</t>
  </si>
  <si>
    <t>(+/-) Resultado Financeiro</t>
  </si>
  <si>
    <t>Lucro Antes Impostos</t>
  </si>
  <si>
    <t>Imposto de renda e contribuição social, líquidos</t>
  </si>
  <si>
    <t>(=) LUCRO LÍQUIDO DO EXERCÍCIO</t>
  </si>
  <si>
    <t>Dados para cálculo do EBITDA</t>
  </si>
  <si>
    <t>Despesas com Vendas</t>
  </si>
  <si>
    <t xml:space="preserve">    Depreciação - Direito de uso, líquida dos tributos </t>
  </si>
  <si>
    <t xml:space="preserve">    Depreciação e amortização     </t>
  </si>
  <si>
    <t>Despesas gerais e Administrativas</t>
  </si>
  <si>
    <t>Outros Resultados Operacionais</t>
  </si>
  <si>
    <t>Total</t>
  </si>
  <si>
    <t>Empresa XX  LTDA - EBITDA 1ºTrim/2025</t>
  </si>
  <si>
    <t>Empresa XX LTDA - EBITDA2ºTrim/ 2025</t>
  </si>
  <si>
    <t>Lucro Líquido</t>
  </si>
  <si>
    <t>(+) Tributos</t>
  </si>
  <si>
    <t>(+) despesas Financeira</t>
  </si>
  <si>
    <t>(-) Receitas</t>
  </si>
  <si>
    <t>(+) Depreciação e Amortização</t>
  </si>
  <si>
    <t>(=) EBITDA</t>
  </si>
  <si>
    <t xml:space="preserve">Fênix Contábil </t>
  </si>
  <si>
    <t>Fênix Contábil</t>
  </si>
  <si>
    <t>Análise por Quocientes e Interpretação</t>
  </si>
  <si>
    <t xml:space="preserve">Quocientes de Liquidez </t>
  </si>
  <si>
    <t>Liquidez Corrente:</t>
  </si>
  <si>
    <t>Este quociente mostra a capacidade da empresa de cumprir suas obrigações de curto prazo. Quanto maior este quociente, melhor.</t>
  </si>
  <si>
    <t>Liquidez Geral:</t>
  </si>
  <si>
    <t>Ativo Circulante + Realizável Longo Prazo</t>
  </si>
  <si>
    <t>Passivo Circulante + Exigível Longo Prazo</t>
  </si>
  <si>
    <t>Este quociente mostra se os recursos financeiros aplicados no Ativo Circulante e Realizável a Longo Prazo são suficientes para cobrir as obrigações totais</t>
  </si>
  <si>
    <t>Quanto maior este quociente, melhor.</t>
  </si>
  <si>
    <t>Liquidez Seca</t>
  </si>
  <si>
    <t>Ativo Circulante - Estoques</t>
  </si>
  <si>
    <t xml:space="preserve">Passivo Circulante </t>
  </si>
  <si>
    <t xml:space="preserve">Este quociente mostra a capacidade financeira líquida (sem os estoques) da empresa para cumprir suas obrigações de curto prazo. </t>
  </si>
  <si>
    <t>Quocientes de Rentabilidade</t>
  </si>
  <si>
    <t>Margem Bruta:</t>
  </si>
  <si>
    <t>Lucro Bruto</t>
  </si>
  <si>
    <t>Vendas Líquidas</t>
  </si>
  <si>
    <t>Este quociente mostra a proporção entre o volume de vendas e os investimentos totais. Quanto maior este quociente, melhor.</t>
  </si>
  <si>
    <t>Obs.: mede a produtividade dos ativos, mostra quanto a Empresa gera de receita para cada real investido. (em ativo)</t>
  </si>
  <si>
    <t>Margem Líquida:</t>
  </si>
  <si>
    <t>Este quociente mostra a margem de lucro obtida pela empresa em relação ao seu faturamento.  Quanto maior este quociente, melhor.</t>
  </si>
  <si>
    <t>Ativo Total</t>
  </si>
  <si>
    <t>Este quociente mostra o potencial de geração de lucro da empresa em relação aos investimentos totais.  Quanto maior este quociente, melhor.</t>
  </si>
  <si>
    <t>Patrimônio Líquido</t>
  </si>
  <si>
    <t>Este quociente revela a taxa de rentabilidade do Capital Próprio investido na empresa.  Quanto maior este quociente, melhor.</t>
  </si>
  <si>
    <r>
      <t xml:space="preserve">No 1º trim, para cada </t>
    </r>
    <r>
      <rPr>
        <b/>
        <sz val="11"/>
        <color rgb="FF002060"/>
        <rFont val="Google Sans Text"/>
      </rPr>
      <t>$ 1,00</t>
    </r>
    <r>
      <rPr>
        <sz val="11"/>
        <color rgb="FF002060"/>
        <rFont val="Google Sans Text"/>
      </rPr>
      <t xml:space="preserve"> de dívida, a empresa tinha </t>
    </r>
    <r>
      <rPr>
        <b/>
        <sz val="11"/>
        <color rgb="FF002060"/>
        <rFont val="Google Sans Text"/>
      </rPr>
      <t>$ 3,00</t>
    </r>
    <r>
      <rPr>
        <sz val="11"/>
        <color rgb="FF002060"/>
        <rFont val="Google Sans Text"/>
      </rPr>
      <t xml:space="preserve">. No 2º trim, essa folga subiu para </t>
    </r>
    <r>
      <rPr>
        <b/>
        <sz val="11"/>
        <color rgb="FF002060"/>
        <rFont val="Google Sans Text"/>
      </rPr>
      <t>$ 4,03</t>
    </r>
    <r>
      <rPr>
        <sz val="11"/>
        <color rgb="FF002060"/>
        <rFont val="Google Sans Text"/>
      </rPr>
      <t>.</t>
    </r>
  </si>
  <si>
    <t>(70.194,37+0)</t>
  </si>
  <si>
    <t>(23.358,63+0)</t>
  </si>
  <si>
    <t>(61.408,74+0)</t>
  </si>
  <si>
    <t>(15.256,31+0)</t>
  </si>
  <si>
    <r>
      <t xml:space="preserve">Como não há dívidas de longo prazo, o valor repete a liquidez corrente: </t>
    </r>
    <r>
      <rPr>
        <b/>
        <sz val="11"/>
        <color rgb="FF002060"/>
        <rFont val="Google Sans Text"/>
      </rPr>
      <t>$ 4,03</t>
    </r>
    <r>
      <rPr>
        <sz val="11"/>
        <color rgb="FF002060"/>
        <rFont val="Google Sans Text"/>
      </rPr>
      <t xml:space="preserve"> para cada </t>
    </r>
    <r>
      <rPr>
        <b/>
        <sz val="11"/>
        <color rgb="FF002060"/>
        <rFont val="Google Sans Text"/>
      </rPr>
      <t>$ 1,00</t>
    </r>
    <r>
      <rPr>
        <sz val="11"/>
        <color rgb="FF002060"/>
        <rFont val="Google Sans Text"/>
      </rPr>
      <t xml:space="preserve"> de obrigação total no 2º trim.</t>
    </r>
  </si>
  <si>
    <t>Como a empresa é de serviços e não possui estoques, o índice é idêntico à liquidez corrente: $ 4,03.</t>
  </si>
  <si>
    <t>a sobrar $ 0,47(47,34%).</t>
  </si>
  <si>
    <t xml:space="preserve">No 1º trim, para cada $ 1,00 vendido, sobravam $ 0,38 (37,87%), após os custos diretos. No 2º trim, a eficiência aumentou e passaram </t>
  </si>
  <si>
    <t>No 1º trim, a empresa perdia $ 0,29 para cada $ 1,00 vendido (margem negativa de -29,17%). No 2º trim, ela passou a ganhar $0,02(1,77%) para cada</t>
  </si>
  <si>
    <t>$ 1,00 de receita.</t>
  </si>
  <si>
    <r>
      <t xml:space="preserve">No 1º houve perda de $0,13. No 2º trim, para cada </t>
    </r>
    <r>
      <rPr>
        <b/>
        <sz val="11"/>
        <color rgb="FF002060"/>
        <rFont val="Google Sans Text"/>
      </rPr>
      <t>$ 1,00 de capital próprio investido, os sócios obtiveram um retorno de $ 0,01.</t>
    </r>
  </si>
  <si>
    <t>No 1º trim, o retorno era negativo -$0,10(-9,63%). No 2º trim, para cada $ 1,00 aplicado em ativos, a empresa gerou $ 0,008(0,83%)  de lucro.</t>
  </si>
  <si>
    <t>Rentabilidade do Ativo (ROA)</t>
  </si>
  <si>
    <t>Rentabilidade Patrim.  Líquido (ROE)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</si>
</sst>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000"/>
    <numFmt numFmtId="165" formatCode="&quot;R$&quot;\ #,##0.00"/>
    <numFmt numFmtId="166" formatCode="&quot;R$&quot;\ #,##0.000"/>
  </numFmts>
  <fonts count="3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b/>
      <sz val="11"/>
      <color theme="1"/>
      <name val="Aptos Narrow"/>
      <family val="2"/>
    </font>
    <font>
      <b/>
      <sz val="14"/>
      <color rgb="FFFF0000"/>
      <name val="Aptos Narrow"/>
      <family val="2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color theme="1"/>
      <name val="Aptos Narrow"/>
      <family val="2"/>
    </font>
    <font>
      <b/>
      <sz val="14"/>
      <color theme="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b/>
      <sz val="11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4"/>
      <name val="Aptos Narrow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1"/>
      <color rgb="FF002060"/>
      <name val="Calibri"/>
      <family val="2"/>
    </font>
    <font>
      <b/>
      <sz val="11"/>
      <color rgb="FF002060"/>
      <name val="Aptos Narrow"/>
      <family val="2"/>
    </font>
    <font>
      <b/>
      <sz val="14"/>
      <color theme="1"/>
      <name val="Calibri"/>
      <family val="2"/>
    </font>
    <font>
      <sz val="14"/>
      <name val="Aptos Narrow"/>
      <family val="2"/>
    </font>
    <font>
      <b/>
      <sz val="11"/>
      <color rgb="FF002060"/>
      <name val="Google Sans Text"/>
    </font>
    <font>
      <sz val="11"/>
      <color rgb="FF002060"/>
      <name val="Google Sans Text"/>
    </font>
    <font>
      <sz val="11"/>
      <color rgb="FF002060"/>
      <name val="Aptos Narrow"/>
      <family val="2"/>
      <scheme val="minor"/>
    </font>
    <font>
      <sz val="11"/>
      <color rgb="FF002060"/>
      <name val="Aptos Narrow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rgb="FF002060"/>
      <name val="Aptos Narrow"/>
      <family val="2"/>
      <scheme val="minor"/>
    </font>
    <font>
      <b/>
      <sz val="13"/>
      <color theme="1"/>
      <name val="Calibri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6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8" tint="0.39997558519241921"/>
      </bottom>
      <diagonal/>
    </border>
    <border>
      <left/>
      <right/>
      <top style="thin">
        <color indexed="64"/>
      </top>
      <bottom style="thin">
        <color theme="8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39997558519241921"/>
      </bottom>
      <diagonal/>
    </border>
    <border>
      <left style="thin">
        <color indexed="64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59">
    <xf numFmtId="0" fontId="0" fillId="0" borderId="0" xfId="0"/>
    <xf numFmtId="10" fontId="4" fillId="0" borderId="0" xfId="0" applyNumberFormat="1" applyFont="1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4" fillId="0" borderId="3" xfId="0" applyFont="1" applyBorder="1"/>
    <xf numFmtId="14" fontId="3" fillId="0" borderId="3" xfId="0" applyNumberFormat="1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10" fontId="3" fillId="0" borderId="5" xfId="0" applyNumberFormat="1" applyFont="1" applyBorder="1" applyAlignment="1">
      <alignment horizontal="center"/>
    </xf>
    <xf numFmtId="0" fontId="3" fillId="0" borderId="5" xfId="0" applyFont="1" applyBorder="1"/>
    <xf numFmtId="10" fontId="3" fillId="0" borderId="5" xfId="0" applyNumberFormat="1" applyFont="1" applyBorder="1"/>
    <xf numFmtId="0" fontId="4" fillId="0" borderId="5" xfId="0" applyFont="1" applyBorder="1"/>
    <xf numFmtId="3" fontId="4" fillId="0" borderId="5" xfId="0" applyNumberFormat="1" applyFont="1" applyBorder="1"/>
    <xf numFmtId="0" fontId="4" fillId="0" borderId="7" xfId="0" applyFont="1" applyBorder="1"/>
    <xf numFmtId="10" fontId="4" fillId="0" borderId="8" xfId="0" applyNumberFormat="1" applyFont="1" applyBorder="1"/>
    <xf numFmtId="10" fontId="4" fillId="0" borderId="7" xfId="0" applyNumberFormat="1" applyFont="1" applyBorder="1"/>
    <xf numFmtId="0" fontId="6" fillId="0" borderId="0" xfId="0" applyFont="1"/>
    <xf numFmtId="3" fontId="4" fillId="0" borderId="0" xfId="0" applyNumberFormat="1" applyFont="1"/>
    <xf numFmtId="0" fontId="6" fillId="0" borderId="9" xfId="0" applyFont="1" applyBorder="1"/>
    <xf numFmtId="0" fontId="6" fillId="0" borderId="10" xfId="0" applyFont="1" applyBorder="1"/>
    <xf numFmtId="3" fontId="4" fillId="0" borderId="3" xfId="0" applyNumberFormat="1" applyFont="1" applyBorder="1"/>
    <xf numFmtId="10" fontId="4" fillId="0" borderId="4" xfId="0" applyNumberFormat="1" applyFont="1" applyBorder="1"/>
    <xf numFmtId="10" fontId="4" fillId="0" borderId="11" xfId="0" applyNumberFormat="1" applyFont="1" applyBorder="1"/>
    <xf numFmtId="3" fontId="5" fillId="0" borderId="5" xfId="0" applyNumberFormat="1" applyFont="1" applyBorder="1"/>
    <xf numFmtId="10" fontId="4" fillId="0" borderId="12" xfId="0" applyNumberFormat="1" applyFont="1" applyBorder="1"/>
    <xf numFmtId="10" fontId="4" fillId="0" borderId="13" xfId="0" applyNumberFormat="1" applyFont="1" applyBorder="1"/>
    <xf numFmtId="3" fontId="5" fillId="0" borderId="5" xfId="0" applyNumberFormat="1" applyFont="1" applyBorder="1" applyAlignment="1">
      <alignment horizontal="right"/>
    </xf>
    <xf numFmtId="10" fontId="4" fillId="0" borderId="12" xfId="0" applyNumberFormat="1" applyFont="1" applyBorder="1" applyAlignment="1">
      <alignment horizontal="right"/>
    </xf>
    <xf numFmtId="0" fontId="6" fillId="0" borderId="14" xfId="0" applyFont="1" applyBorder="1"/>
    <xf numFmtId="3" fontId="3" fillId="0" borderId="7" xfId="0" applyNumberFormat="1" applyFont="1" applyBorder="1"/>
    <xf numFmtId="10" fontId="3" fillId="0" borderId="15" xfId="0" applyNumberFormat="1" applyFont="1" applyBorder="1"/>
    <xf numFmtId="10" fontId="4" fillId="0" borderId="16" xfId="0" applyNumberFormat="1" applyFont="1" applyBorder="1"/>
    <xf numFmtId="0" fontId="4" fillId="0" borderId="9" xfId="0" applyFont="1" applyBorder="1"/>
    <xf numFmtId="10" fontId="3" fillId="0" borderId="17" xfId="0" applyNumberFormat="1" applyFont="1" applyBorder="1" applyAlignment="1">
      <alignment horizontal="center"/>
    </xf>
    <xf numFmtId="0" fontId="4" fillId="0" borderId="10" xfId="0" applyFont="1" applyBorder="1"/>
    <xf numFmtId="10" fontId="4" fillId="0" borderId="5" xfId="0" applyNumberFormat="1" applyFont="1" applyBorder="1"/>
    <xf numFmtId="0" fontId="4" fillId="2" borderId="18" xfId="0" applyFont="1" applyFill="1" applyBorder="1"/>
    <xf numFmtId="0" fontId="3" fillId="0" borderId="14" xfId="0" applyFont="1" applyBorder="1"/>
    <xf numFmtId="3" fontId="0" fillId="0" borderId="0" xfId="0" applyNumberFormat="1"/>
    <xf numFmtId="0" fontId="4" fillId="0" borderId="18" xfId="0" applyFont="1" applyBorder="1"/>
    <xf numFmtId="0" fontId="3" fillId="0" borderId="18" xfId="0" applyFont="1" applyBorder="1"/>
    <xf numFmtId="3" fontId="4" fillId="0" borderId="6" xfId="0" applyNumberFormat="1" applyFont="1" applyBorder="1"/>
    <xf numFmtId="0" fontId="3" fillId="0" borderId="6" xfId="0" applyFont="1" applyBorder="1"/>
    <xf numFmtId="0" fontId="3" fillId="0" borderId="19" xfId="0" applyFont="1" applyBorder="1"/>
    <xf numFmtId="3" fontId="3" fillId="0" borderId="22" xfId="0" applyNumberFormat="1" applyFont="1" applyBorder="1"/>
    <xf numFmtId="3" fontId="4" fillId="0" borderId="21" xfId="0" applyNumberFormat="1" applyFont="1" applyBorder="1"/>
    <xf numFmtId="3" fontId="4" fillId="0" borderId="25" xfId="0" applyNumberFormat="1" applyFont="1" applyBorder="1"/>
    <xf numFmtId="3" fontId="5" fillId="0" borderId="6" xfId="0" applyNumberFormat="1" applyFont="1" applyBorder="1"/>
    <xf numFmtId="3" fontId="5" fillId="0" borderId="6" xfId="0" applyNumberFormat="1" applyFont="1" applyBorder="1" applyAlignment="1">
      <alignment horizontal="right"/>
    </xf>
    <xf numFmtId="3" fontId="3" fillId="0" borderId="8" xfId="0" applyNumberFormat="1" applyFont="1" applyBorder="1"/>
    <xf numFmtId="0" fontId="3" fillId="0" borderId="26" xfId="0" applyFont="1" applyBorder="1" applyAlignment="1">
      <alignment horizontal="center"/>
    </xf>
    <xf numFmtId="14" fontId="3" fillId="0" borderId="25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14" fontId="3" fillId="0" borderId="28" xfId="0" applyNumberFormat="1" applyFont="1" applyBorder="1" applyAlignment="1">
      <alignment horizontal="center"/>
    </xf>
    <xf numFmtId="3" fontId="5" fillId="0" borderId="21" xfId="0" applyNumberFormat="1" applyFont="1" applyBorder="1" applyAlignment="1">
      <alignment horizontal="right"/>
    </xf>
    <xf numFmtId="0" fontId="6" fillId="0" borderId="18" xfId="0" applyFont="1" applyBorder="1"/>
    <xf numFmtId="0" fontId="5" fillId="0" borderId="18" xfId="0" applyFont="1" applyBorder="1"/>
    <xf numFmtId="4" fontId="4" fillId="0" borderId="6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4" fontId="3" fillId="2" borderId="5" xfId="0" applyNumberFormat="1" applyFont="1" applyFill="1" applyBorder="1"/>
    <xf numFmtId="0" fontId="10" fillId="0" borderId="0" xfId="0" applyFont="1"/>
    <xf numFmtId="0" fontId="13" fillId="4" borderId="34" xfId="0" applyFont="1" applyFill="1" applyBorder="1"/>
    <xf numFmtId="0" fontId="13" fillId="4" borderId="35" xfId="0" applyFont="1" applyFill="1" applyBorder="1"/>
    <xf numFmtId="0" fontId="13" fillId="4" borderId="36" xfId="0" applyFont="1" applyFill="1" applyBorder="1"/>
    <xf numFmtId="44" fontId="13" fillId="4" borderId="37" xfId="0" applyNumberFormat="1" applyFont="1" applyFill="1" applyBorder="1"/>
    <xf numFmtId="0" fontId="13" fillId="0" borderId="38" xfId="0" applyFont="1" applyBorder="1"/>
    <xf numFmtId="0" fontId="13" fillId="0" borderId="33" xfId="0" applyFont="1" applyBorder="1"/>
    <xf numFmtId="0" fontId="13" fillId="0" borderId="39" xfId="0" applyFont="1" applyBorder="1"/>
    <xf numFmtId="44" fontId="13" fillId="0" borderId="40" xfId="0" applyNumberFormat="1" applyFont="1" applyBorder="1"/>
    <xf numFmtId="0" fontId="13" fillId="4" borderId="38" xfId="0" applyFont="1" applyFill="1" applyBorder="1"/>
    <xf numFmtId="0" fontId="13" fillId="4" borderId="33" xfId="0" applyFont="1" applyFill="1" applyBorder="1"/>
    <xf numFmtId="0" fontId="13" fillId="4" borderId="39" xfId="0" applyFont="1" applyFill="1" applyBorder="1"/>
    <xf numFmtId="44" fontId="13" fillId="4" borderId="40" xfId="0" applyNumberFormat="1" applyFont="1" applyFill="1" applyBorder="1"/>
    <xf numFmtId="0" fontId="14" fillId="0" borderId="38" xfId="0" applyFont="1" applyBorder="1"/>
    <xf numFmtId="44" fontId="14" fillId="0" borderId="40" xfId="0" applyNumberFormat="1" applyFont="1" applyBorder="1"/>
    <xf numFmtId="0" fontId="15" fillId="0" borderId="30" xfId="0" applyFont="1" applyBorder="1"/>
    <xf numFmtId="0" fontId="15" fillId="0" borderId="31" xfId="0" applyFont="1" applyBorder="1"/>
    <xf numFmtId="0" fontId="15" fillId="0" borderId="32" xfId="0" applyFont="1" applyBorder="1"/>
    <xf numFmtId="44" fontId="16" fillId="0" borderId="19" xfId="0" applyNumberFormat="1" applyFont="1" applyBorder="1"/>
    <xf numFmtId="14" fontId="10" fillId="0" borderId="3" xfId="0" applyNumberFormat="1" applyFont="1" applyBorder="1" applyAlignment="1">
      <alignment horizontal="center"/>
    </xf>
    <xf numFmtId="0" fontId="10" fillId="0" borderId="18" xfId="0" applyFont="1" applyBorder="1"/>
    <xf numFmtId="0" fontId="7" fillId="0" borderId="18" xfId="0" applyFont="1" applyBorder="1"/>
    <xf numFmtId="0" fontId="10" fillId="0" borderId="14" xfId="0" applyFont="1" applyBorder="1"/>
    <xf numFmtId="4" fontId="3" fillId="0" borderId="5" xfId="0" applyNumberFormat="1" applyFont="1" applyBorder="1"/>
    <xf numFmtId="4" fontId="4" fillId="0" borderId="5" xfId="0" applyNumberFormat="1" applyFont="1" applyBorder="1"/>
    <xf numFmtId="0" fontId="2" fillId="0" borderId="41" xfId="0" applyFont="1" applyBorder="1"/>
    <xf numFmtId="4" fontId="4" fillId="2" borderId="5" xfId="0" applyNumberFormat="1" applyFont="1" applyFill="1" applyBorder="1"/>
    <xf numFmtId="4" fontId="7" fillId="0" borderId="6" xfId="0" applyNumberFormat="1" applyFont="1" applyBorder="1" applyAlignment="1">
      <alignment horizontal="center"/>
    </xf>
    <xf numFmtId="10" fontId="3" fillId="0" borderId="7" xfId="0" applyNumberFormat="1" applyFont="1" applyBorder="1" applyAlignment="1">
      <alignment horizontal="center"/>
    </xf>
    <xf numFmtId="4" fontId="0" fillId="0" borderId="23" xfId="0" applyNumberForma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4" fontId="7" fillId="0" borderId="21" xfId="0" applyNumberFormat="1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2" fontId="10" fillId="0" borderId="13" xfId="0" applyNumberFormat="1" applyFont="1" applyBorder="1" applyAlignment="1">
      <alignment horizontal="center"/>
    </xf>
    <xf numFmtId="2" fontId="7" fillId="0" borderId="13" xfId="0" applyNumberFormat="1" applyFont="1" applyBorder="1" applyAlignment="1">
      <alignment horizontal="center"/>
    </xf>
    <xf numFmtId="4" fontId="3" fillId="0" borderId="19" xfId="0" applyNumberFormat="1" applyFont="1" applyBorder="1" applyAlignment="1">
      <alignment horizontal="center"/>
    </xf>
    <xf numFmtId="4" fontId="3" fillId="0" borderId="7" xfId="0" applyNumberFormat="1" applyFont="1" applyBorder="1" applyAlignment="1">
      <alignment horizontal="center"/>
    </xf>
    <xf numFmtId="10" fontId="6" fillId="0" borderId="7" xfId="0" applyNumberFormat="1" applyFont="1" applyBorder="1" applyAlignment="1">
      <alignment horizontal="center"/>
    </xf>
    <xf numFmtId="10" fontId="10" fillId="0" borderId="3" xfId="0" applyNumberFormat="1" applyFont="1" applyBorder="1" applyAlignment="1">
      <alignment horizontal="center"/>
    </xf>
    <xf numFmtId="10" fontId="10" fillId="0" borderId="13" xfId="0" applyNumberFormat="1" applyFont="1" applyBorder="1" applyAlignment="1">
      <alignment horizontal="center"/>
    </xf>
    <xf numFmtId="2" fontId="18" fillId="0" borderId="42" xfId="0" applyNumberFormat="1" applyFont="1" applyBorder="1" applyAlignment="1">
      <alignment horizontal="center"/>
    </xf>
    <xf numFmtId="2" fontId="18" fillId="0" borderId="13" xfId="0" applyNumberFormat="1" applyFont="1" applyBorder="1" applyAlignment="1">
      <alignment horizontal="center"/>
    </xf>
    <xf numFmtId="2" fontId="17" fillId="0" borderId="13" xfId="0" applyNumberFormat="1" applyFont="1" applyBorder="1" applyAlignment="1">
      <alignment horizontal="center"/>
    </xf>
    <xf numFmtId="2" fontId="4" fillId="2" borderId="6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4" fontId="4" fillId="0" borderId="21" xfId="0" applyNumberFormat="1" applyFont="1" applyBorder="1" applyAlignment="1">
      <alignment horizontal="center"/>
    </xf>
    <xf numFmtId="4" fontId="3" fillId="0" borderId="21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4" fontId="4" fillId="0" borderId="24" xfId="0" applyNumberFormat="1" applyFont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0" fontId="7" fillId="2" borderId="5" xfId="0" applyFont="1" applyFill="1" applyBorder="1"/>
    <xf numFmtId="4" fontId="0" fillId="0" borderId="0" xfId="0" applyNumberFormat="1"/>
    <xf numFmtId="4" fontId="8" fillId="0" borderId="0" xfId="0" applyNumberFormat="1" applyFont="1"/>
    <xf numFmtId="4" fontId="0" fillId="0" borderId="19" xfId="0" applyNumberFormat="1" applyBorder="1"/>
    <xf numFmtId="4" fontId="4" fillId="0" borderId="19" xfId="0" applyNumberFormat="1" applyFont="1" applyBorder="1"/>
    <xf numFmtId="4" fontId="4" fillId="0" borderId="7" xfId="0" applyNumberFormat="1" applyFont="1" applyBorder="1"/>
    <xf numFmtId="4" fontId="10" fillId="2" borderId="5" xfId="0" applyNumberFormat="1" applyFont="1" applyFill="1" applyBorder="1" applyAlignment="1">
      <alignment horizontal="right"/>
    </xf>
    <xf numFmtId="0" fontId="10" fillId="0" borderId="5" xfId="0" applyFont="1" applyBorder="1"/>
    <xf numFmtId="0" fontId="10" fillId="2" borderId="5" xfId="0" applyFont="1" applyFill="1" applyBorder="1"/>
    <xf numFmtId="4" fontId="8" fillId="0" borderId="43" xfId="0" applyNumberFormat="1" applyFont="1" applyBorder="1"/>
    <xf numFmtId="4" fontId="7" fillId="2" borderId="5" xfId="0" applyNumberFormat="1" applyFont="1" applyFill="1" applyBorder="1" applyAlignment="1">
      <alignment horizontal="right"/>
    </xf>
    <xf numFmtId="0" fontId="10" fillId="2" borderId="20" xfId="0" applyFont="1" applyFill="1" applyBorder="1"/>
    <xf numFmtId="4" fontId="0" fillId="0" borderId="44" xfId="0" applyNumberFormat="1" applyBorder="1"/>
    <xf numFmtId="0" fontId="10" fillId="0" borderId="19" xfId="0" applyFont="1" applyBorder="1"/>
    <xf numFmtId="0" fontId="2" fillId="0" borderId="19" xfId="0" applyFont="1" applyBorder="1"/>
    <xf numFmtId="4" fontId="10" fillId="0" borderId="19" xfId="0" applyNumberFormat="1" applyFont="1" applyBorder="1"/>
    <xf numFmtId="4" fontId="9" fillId="0" borderId="5" xfId="0" applyNumberFormat="1" applyFont="1" applyBorder="1"/>
    <xf numFmtId="4" fontId="9" fillId="2" borderId="5" xfId="0" applyNumberFormat="1" applyFont="1" applyFill="1" applyBorder="1"/>
    <xf numFmtId="4" fontId="6" fillId="0" borderId="6" xfId="0" applyNumberFormat="1" applyFont="1" applyBorder="1"/>
    <xf numFmtId="4" fontId="5" fillId="2" borderId="6" xfId="0" applyNumberFormat="1" applyFont="1" applyFill="1" applyBorder="1"/>
    <xf numFmtId="4" fontId="4" fillId="2" borderId="6" xfId="0" applyNumberFormat="1" applyFont="1" applyFill="1" applyBorder="1"/>
    <xf numFmtId="4" fontId="10" fillId="0" borderId="6" xfId="0" applyNumberFormat="1" applyFont="1" applyBorder="1"/>
    <xf numFmtId="4" fontId="10" fillId="0" borderId="5" xfId="0" applyNumberFormat="1" applyFont="1" applyBorder="1"/>
    <xf numFmtId="4" fontId="4" fillId="0" borderId="6" xfId="0" applyNumberFormat="1" applyFont="1" applyBorder="1"/>
    <xf numFmtId="4" fontId="3" fillId="0" borderId="6" xfId="0" applyNumberFormat="1" applyFont="1" applyBorder="1"/>
    <xf numFmtId="4" fontId="10" fillId="2" borderId="5" xfId="0" applyNumberFormat="1" applyFont="1" applyFill="1" applyBorder="1"/>
    <xf numFmtId="4" fontId="19" fillId="2" borderId="6" xfId="0" applyNumberFormat="1" applyFont="1" applyFill="1" applyBorder="1"/>
    <xf numFmtId="4" fontId="0" fillId="0" borderId="31" xfId="0" applyNumberFormat="1" applyBorder="1"/>
    <xf numFmtId="4" fontId="10" fillId="0" borderId="43" xfId="0" applyNumberFormat="1" applyFont="1" applyBorder="1"/>
    <xf numFmtId="4" fontId="10" fillId="2" borderId="6" xfId="0" applyNumberFormat="1" applyFont="1" applyFill="1" applyBorder="1" applyAlignment="1">
      <alignment horizontal="right"/>
    </xf>
    <xf numFmtId="10" fontId="10" fillId="0" borderId="4" xfId="0" applyNumberFormat="1" applyFont="1" applyBorder="1" applyAlignment="1">
      <alignment horizontal="center"/>
    </xf>
    <xf numFmtId="10" fontId="10" fillId="0" borderId="5" xfId="0" applyNumberFormat="1" applyFont="1" applyBorder="1" applyAlignment="1">
      <alignment horizontal="center"/>
    </xf>
    <xf numFmtId="4" fontId="18" fillId="0" borderId="5" xfId="0" applyNumberFormat="1" applyFont="1" applyBorder="1"/>
    <xf numFmtId="4" fontId="18" fillId="0" borderId="6" xfId="0" applyNumberFormat="1" applyFont="1" applyBorder="1"/>
    <xf numFmtId="4" fontId="2" fillId="0" borderId="21" xfId="0" applyNumberFormat="1" applyFont="1" applyBorder="1" applyAlignment="1">
      <alignment horizontal="center"/>
    </xf>
    <xf numFmtId="4" fontId="2" fillId="0" borderId="31" xfId="0" applyNumberFormat="1" applyFont="1" applyBorder="1" applyAlignment="1">
      <alignment horizontal="center"/>
    </xf>
    <xf numFmtId="3" fontId="2" fillId="0" borderId="21" xfId="0" applyNumberFormat="1" applyFont="1" applyBorder="1"/>
    <xf numFmtId="0" fontId="10" fillId="0" borderId="20" xfId="0" applyFont="1" applyBorder="1"/>
    <xf numFmtId="4" fontId="3" fillId="0" borderId="20" xfId="0" applyNumberFormat="1" applyFont="1" applyBorder="1"/>
    <xf numFmtId="4" fontId="3" fillId="0" borderId="46" xfId="0" applyNumberFormat="1" applyFont="1" applyBorder="1"/>
    <xf numFmtId="0" fontId="4" fillId="0" borderId="19" xfId="0" applyFont="1" applyBorder="1"/>
    <xf numFmtId="4" fontId="3" fillId="0" borderId="19" xfId="0" applyNumberFormat="1" applyFont="1" applyBorder="1"/>
    <xf numFmtId="4" fontId="18" fillId="0" borderId="19" xfId="0" applyNumberFormat="1" applyFont="1" applyBorder="1"/>
    <xf numFmtId="4" fontId="3" fillId="2" borderId="19" xfId="0" applyNumberFormat="1" applyFont="1" applyFill="1" applyBorder="1"/>
    <xf numFmtId="164" fontId="23" fillId="0" borderId="50" xfId="0" applyNumberFormat="1" applyFont="1" applyBorder="1"/>
    <xf numFmtId="165" fontId="4" fillId="0" borderId="0" xfId="0" applyNumberFormat="1" applyFont="1"/>
    <xf numFmtId="165" fontId="4" fillId="0" borderId="51" xfId="0" applyNumberFormat="1" applyFont="1" applyBorder="1"/>
    <xf numFmtId="164" fontId="23" fillId="0" borderId="50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left"/>
    </xf>
    <xf numFmtId="165" fontId="4" fillId="0" borderId="51" xfId="0" applyNumberFormat="1" applyFont="1" applyBorder="1" applyAlignment="1">
      <alignment horizontal="left"/>
    </xf>
    <xf numFmtId="0" fontId="23" fillId="0" borderId="50" xfId="0" applyFont="1" applyBorder="1" applyAlignment="1">
      <alignment vertical="center" wrapText="1"/>
    </xf>
    <xf numFmtId="0" fontId="23" fillId="0" borderId="0" xfId="0" applyFont="1"/>
    <xf numFmtId="14" fontId="24" fillId="0" borderId="0" xfId="0" applyNumberFormat="1" applyFont="1"/>
    <xf numFmtId="14" fontId="4" fillId="0" borderId="0" xfId="0" applyNumberFormat="1" applyFont="1"/>
    <xf numFmtId="14" fontId="24" fillId="0" borderId="51" xfId="0" applyNumberFormat="1" applyFont="1" applyBorder="1"/>
    <xf numFmtId="0" fontId="25" fillId="0" borderId="52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4" fillId="0" borderId="50" xfId="0" applyFont="1" applyBorder="1"/>
    <xf numFmtId="0" fontId="26" fillId="0" borderId="50" xfId="0" applyFont="1" applyBorder="1"/>
    <xf numFmtId="0" fontId="24" fillId="0" borderId="0" xfId="0" applyFont="1" applyAlignment="1">
      <alignment horizontal="center"/>
    </xf>
    <xf numFmtId="4" fontId="24" fillId="0" borderId="0" xfId="0" applyNumberFormat="1" applyFont="1"/>
    <xf numFmtId="165" fontId="24" fillId="0" borderId="0" xfId="0" applyNumberFormat="1" applyFont="1"/>
    <xf numFmtId="165" fontId="24" fillId="0" borderId="51" xfId="0" applyNumberFormat="1" applyFont="1" applyBorder="1"/>
    <xf numFmtId="0" fontId="24" fillId="0" borderId="50" xfId="0" applyFont="1" applyBorder="1"/>
    <xf numFmtId="0" fontId="24" fillId="0" borderId="47" xfId="0" applyFont="1" applyBorder="1"/>
    <xf numFmtId="0" fontId="24" fillId="0" borderId="48" xfId="0" applyFont="1" applyBorder="1" applyAlignment="1">
      <alignment horizontal="center"/>
    </xf>
    <xf numFmtId="4" fontId="24" fillId="0" borderId="48" xfId="0" applyNumberFormat="1" applyFont="1" applyBorder="1"/>
    <xf numFmtId="165" fontId="24" fillId="0" borderId="48" xfId="0" applyNumberFormat="1" applyFont="1" applyBorder="1"/>
    <xf numFmtId="165" fontId="24" fillId="0" borderId="49" xfId="0" applyNumberFormat="1" applyFont="1" applyBorder="1"/>
    <xf numFmtId="164" fontId="24" fillId="0" borderId="50" xfId="0" applyNumberFormat="1" applyFont="1" applyBorder="1" applyAlignment="1">
      <alignment horizontal="left"/>
    </xf>
    <xf numFmtId="3" fontId="23" fillId="0" borderId="0" xfId="0" applyNumberFormat="1" applyFont="1"/>
    <xf numFmtId="164" fontId="26" fillId="0" borderId="50" xfId="0" applyNumberFormat="1" applyFont="1" applyBorder="1" applyAlignment="1">
      <alignment horizontal="left"/>
    </xf>
    <xf numFmtId="0" fontId="4" fillId="0" borderId="4" xfId="0" applyFont="1" applyBorder="1"/>
    <xf numFmtId="165" fontId="4" fillId="0" borderId="4" xfId="0" applyNumberFormat="1" applyFont="1" applyBorder="1"/>
    <xf numFmtId="165" fontId="4" fillId="0" borderId="56" xfId="0" applyNumberFormat="1" applyFont="1" applyBorder="1"/>
    <xf numFmtId="4" fontId="24" fillId="0" borderId="53" xfId="0" applyNumberFormat="1" applyFont="1" applyBorder="1" applyAlignment="1">
      <alignment horizontal="center" vertical="center"/>
    </xf>
    <xf numFmtId="4" fontId="24" fillId="0" borderId="54" xfId="0" applyNumberFormat="1" applyFont="1" applyBorder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164" fontId="24" fillId="0" borderId="55" xfId="0" applyNumberFormat="1" applyFont="1" applyBorder="1"/>
    <xf numFmtId="164" fontId="24" fillId="0" borderId="0" xfId="0" applyNumberFormat="1" applyFont="1"/>
    <xf numFmtId="4" fontId="24" fillId="0" borderId="53" xfId="0" applyNumberFormat="1" applyFont="1" applyBorder="1" applyAlignment="1">
      <alignment horizontal="center"/>
    </xf>
    <xf numFmtId="4" fontId="24" fillId="0" borderId="54" xfId="0" applyNumberFormat="1" applyFont="1" applyBorder="1" applyAlignment="1">
      <alignment horizontal="center"/>
    </xf>
    <xf numFmtId="0" fontId="32" fillId="0" borderId="0" xfId="0" applyFont="1"/>
    <xf numFmtId="165" fontId="33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57" xfId="0" applyBorder="1"/>
    <xf numFmtId="4" fontId="25" fillId="0" borderId="53" xfId="0" applyNumberFormat="1" applyFont="1" applyBorder="1" applyAlignment="1">
      <alignment horizontal="center"/>
    </xf>
    <xf numFmtId="0" fontId="26" fillId="0" borderId="0" xfId="0" applyFont="1" applyAlignment="1">
      <alignment horizontal="center"/>
    </xf>
    <xf numFmtId="4" fontId="26" fillId="0" borderId="0" xfId="0" applyNumberFormat="1" applyFont="1"/>
    <xf numFmtId="165" fontId="26" fillId="0" borderId="0" xfId="0" applyNumberFormat="1" applyFont="1"/>
    <xf numFmtId="4" fontId="26" fillId="0" borderId="0" xfId="0" applyNumberFormat="1" applyFont="1" applyAlignment="1">
      <alignment horizontal="center" vertical="center"/>
    </xf>
    <xf numFmtId="165" fontId="26" fillId="0" borderId="51" xfId="0" applyNumberFormat="1" applyFont="1" applyBorder="1"/>
    <xf numFmtId="4" fontId="35" fillId="0" borderId="53" xfId="0" applyNumberFormat="1" applyFont="1" applyBorder="1" applyAlignment="1">
      <alignment horizontal="center" vertical="center"/>
    </xf>
    <xf numFmtId="0" fontId="26" fillId="0" borderId="57" xfId="0" applyFont="1" applyBorder="1"/>
    <xf numFmtId="4" fontId="34" fillId="0" borderId="53" xfId="0" applyNumberFormat="1" applyFont="1" applyBorder="1" applyAlignment="1">
      <alignment horizontal="center" vertical="center"/>
    </xf>
    <xf numFmtId="0" fontId="36" fillId="0" borderId="0" xfId="0" applyFont="1"/>
    <xf numFmtId="165" fontId="27" fillId="0" borderId="0" xfId="0" applyNumberFormat="1" applyFont="1"/>
    <xf numFmtId="0" fontId="26" fillId="0" borderId="0" xfId="0" applyFont="1"/>
    <xf numFmtId="0" fontId="26" fillId="0" borderId="29" xfId="0" applyFont="1" applyBorder="1" applyAlignment="1">
      <alignment horizontal="center"/>
    </xf>
    <xf numFmtId="4" fontId="26" fillId="0" borderId="29" xfId="0" applyNumberFormat="1" applyFont="1" applyBorder="1"/>
    <xf numFmtId="165" fontId="26" fillId="0" borderId="29" xfId="0" applyNumberFormat="1" applyFont="1" applyBorder="1"/>
    <xf numFmtId="4" fontId="24" fillId="0" borderId="29" xfId="0" applyNumberFormat="1" applyFont="1" applyBorder="1"/>
    <xf numFmtId="165" fontId="24" fillId="0" borderId="58" xfId="0" applyNumberFormat="1" applyFont="1" applyBorder="1"/>
    <xf numFmtId="0" fontId="26" fillId="0" borderId="59" xfId="0" applyFont="1" applyBorder="1"/>
    <xf numFmtId="165" fontId="24" fillId="0" borderId="60" xfId="0" applyNumberFormat="1" applyFont="1" applyBorder="1"/>
    <xf numFmtId="164" fontId="37" fillId="6" borderId="50" xfId="0" applyNumberFormat="1" applyFont="1" applyFill="1" applyBorder="1"/>
    <xf numFmtId="0" fontId="37" fillId="6" borderId="50" xfId="0" applyFont="1" applyFill="1" applyBorder="1" applyAlignment="1">
      <alignment vertical="center" wrapText="1"/>
    </xf>
    <xf numFmtId="0" fontId="22" fillId="5" borderId="45" xfId="0" applyFont="1" applyFill="1" applyBorder="1" applyAlignment="1">
      <alignment horizontal="left" vertical="center"/>
    </xf>
    <xf numFmtId="0" fontId="20" fillId="5" borderId="45" xfId="0" applyFont="1" applyFill="1" applyBorder="1" applyAlignment="1">
      <alignment horizontal="left" vertical="center"/>
    </xf>
    <xf numFmtId="0" fontId="21" fillId="5" borderId="45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17" fillId="0" borderId="54" xfId="0" applyFont="1" applyBorder="1"/>
    <xf numFmtId="165" fontId="26" fillId="0" borderId="48" xfId="0" applyNumberFormat="1" applyFont="1" applyBorder="1" applyAlignment="1">
      <alignment horizontal="center" vertical="center"/>
    </xf>
    <xf numFmtId="0" fontId="27" fillId="0" borderId="4" xfId="0" applyFont="1" applyBorder="1"/>
    <xf numFmtId="165" fontId="34" fillId="0" borderId="52" xfId="0" applyNumberFormat="1" applyFont="1" applyBorder="1" applyAlignment="1">
      <alignment horizontal="center" vertical="center"/>
    </xf>
    <xf numFmtId="0" fontId="9" fillId="0" borderId="54" xfId="0" applyFont="1" applyBorder="1"/>
    <xf numFmtId="166" fontId="26" fillId="0" borderId="48" xfId="0" applyNumberFormat="1" applyFont="1" applyBorder="1" applyAlignment="1">
      <alignment horizontal="center" vertical="center"/>
    </xf>
    <xf numFmtId="166" fontId="27" fillId="0" borderId="4" xfId="0" applyNumberFormat="1" applyFont="1" applyBorder="1"/>
    <xf numFmtId="165" fontId="26" fillId="0" borderId="52" xfId="0" applyNumberFormat="1" applyFont="1" applyBorder="1" applyAlignment="1">
      <alignment horizontal="center" vertical="center"/>
    </xf>
    <xf numFmtId="0" fontId="27" fillId="0" borderId="54" xfId="0" applyFont="1" applyBorder="1"/>
    <xf numFmtId="164" fontId="28" fillId="5" borderId="50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29" fillId="5" borderId="51" xfId="0" applyFont="1" applyFill="1" applyBorder="1" applyAlignment="1">
      <alignment horizontal="center"/>
    </xf>
    <xf numFmtId="165" fontId="26" fillId="0" borderId="61" xfId="0" applyNumberFormat="1" applyFont="1" applyBorder="1" applyAlignment="1">
      <alignment horizontal="center" vertical="center"/>
    </xf>
    <xf numFmtId="0" fontId="27" fillId="0" borderId="62" xfId="0" applyFont="1" applyBorder="1"/>
    <xf numFmtId="0" fontId="12" fillId="3" borderId="0" xfId="0" applyFont="1" applyFill="1" applyAlignment="1">
      <alignment horizontal="center" vertical="center"/>
    </xf>
    <xf numFmtId="0" fontId="12" fillId="3" borderId="29" xfId="0" applyFont="1" applyFill="1" applyBorder="1" applyAlignment="1">
      <alignment horizontal="center" vertical="center"/>
    </xf>
    <xf numFmtId="4" fontId="18" fillId="0" borderId="20" xfId="0" applyNumberFormat="1" applyFont="1" applyBorder="1"/>
    <xf numFmtId="4" fontId="18" fillId="2" borderId="19" xfId="0" applyNumberFormat="1" applyFont="1" applyFill="1" applyBorder="1"/>
    <xf numFmtId="4" fontId="38" fillId="0" borderId="21" xfId="0" applyNumberFormat="1" applyFont="1" applyBorder="1" applyAlignment="1">
      <alignment horizontal="center"/>
    </xf>
    <xf numFmtId="4" fontId="17" fillId="0" borderId="6" xfId="0" applyNumberFormat="1" applyFont="1" applyBorder="1" applyAlignment="1">
      <alignment horizontal="center"/>
    </xf>
    <xf numFmtId="4" fontId="17" fillId="0" borderId="5" xfId="0" applyNumberFormat="1" applyFont="1" applyBorder="1" applyAlignment="1">
      <alignment horizontal="center"/>
    </xf>
    <xf numFmtId="2" fontId="17" fillId="0" borderId="5" xfId="0" applyNumberFormat="1" applyFont="1" applyBorder="1" applyAlignment="1">
      <alignment horizontal="center"/>
    </xf>
    <xf numFmtId="2" fontId="17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6667-22C6-435E-BBBF-20A6B9B8615E}">
  <dimension ref="B1:G986"/>
  <sheetViews>
    <sheetView tabSelected="1" zoomScale="115" zoomScaleNormal="115" workbookViewId="0">
      <selection activeCell="I31" sqref="I31"/>
    </sheetView>
  </sheetViews>
  <sheetFormatPr defaultColWidth="12.5546875" defaultRowHeight="15" customHeight="1"/>
  <cols>
    <col min="1" max="1" width="1.88671875" customWidth="1"/>
    <col min="2" max="2" width="55.33203125" customWidth="1"/>
    <col min="3" max="7" width="14.6640625" customWidth="1"/>
    <col min="8" max="8" width="8.5546875" customWidth="1"/>
    <col min="9" max="9" width="24.88671875" customWidth="1"/>
    <col min="10" max="10" width="8.5546875" customWidth="1"/>
    <col min="11" max="11" width="11.88671875" customWidth="1"/>
    <col min="12" max="12" width="22.6640625" customWidth="1"/>
    <col min="13" max="13" width="8.5546875" customWidth="1"/>
    <col min="14" max="14" width="24.88671875" customWidth="1"/>
    <col min="15" max="16" width="8.5546875" customWidth="1"/>
    <col min="17" max="17" width="24" customWidth="1"/>
    <col min="18" max="18" width="8.5546875" customWidth="1"/>
  </cols>
  <sheetData>
    <row r="1" spans="2:7" ht="19.2" customHeight="1" thickBot="1">
      <c r="B1" s="232" t="s">
        <v>90</v>
      </c>
      <c r="C1" s="233"/>
      <c r="D1" s="233"/>
      <c r="E1" s="233"/>
      <c r="F1" s="233"/>
      <c r="G1" s="233"/>
    </row>
    <row r="2" spans="2:7" ht="14.4">
      <c r="B2" s="4"/>
      <c r="C2" s="5" t="s">
        <v>0</v>
      </c>
      <c r="D2" s="6" t="s">
        <v>2</v>
      </c>
      <c r="E2" s="5" t="s">
        <v>39</v>
      </c>
      <c r="F2" s="6" t="s">
        <v>2</v>
      </c>
      <c r="G2" s="7" t="s">
        <v>1</v>
      </c>
    </row>
    <row r="3" spans="2:7" ht="14.4">
      <c r="B3" s="8"/>
      <c r="C3" s="9">
        <v>45747</v>
      </c>
      <c r="D3" s="153" t="s">
        <v>3</v>
      </c>
      <c r="E3" s="9" t="s">
        <v>4</v>
      </c>
      <c r="F3" s="153" t="s">
        <v>40</v>
      </c>
      <c r="G3" s="154" t="s">
        <v>5</v>
      </c>
    </row>
    <row r="4" spans="2:7" ht="14.4">
      <c r="B4" s="130" t="s">
        <v>41</v>
      </c>
      <c r="C4" s="88">
        <v>28120</v>
      </c>
      <c r="D4" s="141">
        <v>100</v>
      </c>
      <c r="E4" s="88">
        <v>36850</v>
      </c>
      <c r="F4" s="141">
        <v>100</v>
      </c>
      <c r="G4" s="155">
        <f>((E4/C4)-1)*100</f>
        <v>31.045519203413939</v>
      </c>
    </row>
    <row r="5" spans="2:7" ht="14.4">
      <c r="B5" s="123" t="s">
        <v>42</v>
      </c>
      <c r="C5" s="124">
        <v>1124.8</v>
      </c>
      <c r="D5" s="91"/>
      <c r="E5" s="91">
        <v>2036.4</v>
      </c>
      <c r="F5" s="142"/>
      <c r="G5" s="155"/>
    </row>
    <row r="6" spans="2:7" ht="14.4">
      <c r="B6" s="131" t="s">
        <v>43</v>
      </c>
      <c r="C6" s="132">
        <f>C4-C5</f>
        <v>26995.200000000001</v>
      </c>
      <c r="D6" s="148">
        <f>(C6/C4)*100</f>
        <v>96.000000000000014</v>
      </c>
      <c r="E6" s="148">
        <f>E4-E5</f>
        <v>34813.599999999999</v>
      </c>
      <c r="F6" s="149">
        <f>(E6/E4)*100</f>
        <v>94.473812754409764</v>
      </c>
      <c r="G6" s="155">
        <f>((E6/C6)-1)*100</f>
        <v>28.962185870080592</v>
      </c>
    </row>
    <row r="7" spans="2:7" ht="14.4">
      <c r="B7" s="123" t="s">
        <v>44</v>
      </c>
      <c r="C7" s="133">
        <v>16344.96</v>
      </c>
      <c r="D7" s="91"/>
      <c r="E7" s="91">
        <v>18328.650000000001</v>
      </c>
      <c r="F7" s="143"/>
      <c r="G7" s="155"/>
    </row>
    <row r="8" spans="2:7" ht="14.4">
      <c r="B8" s="131" t="s">
        <v>45</v>
      </c>
      <c r="C8" s="129">
        <f>C6-C7</f>
        <v>10650.240000000002</v>
      </c>
      <c r="D8" s="129">
        <f>(C8/C4)*100</f>
        <v>37.874253200568994</v>
      </c>
      <c r="E8" s="129">
        <f>E6-E7</f>
        <v>16484.949999999997</v>
      </c>
      <c r="F8" s="152">
        <f>(E8/E4)*100</f>
        <v>44.735278154681133</v>
      </c>
      <c r="G8" s="155">
        <f t="shared" ref="G8:G10" si="0">((E8/C8)-1)*100</f>
        <v>54.784774803196882</v>
      </c>
    </row>
    <row r="9" spans="2:7" ht="14.4">
      <c r="B9" s="134" t="s">
        <v>46</v>
      </c>
      <c r="C9" s="125">
        <f>C10+C23+C32</f>
        <v>18852.900000000001</v>
      </c>
      <c r="D9" s="64">
        <f>(C9/C4)*100</f>
        <v>67.044452347083933</v>
      </c>
      <c r="E9" s="64">
        <f>E10+E23+E32</f>
        <v>15870.17</v>
      </c>
      <c r="F9" s="64">
        <f>(E9/E4)*100</f>
        <v>43.066947082767982</v>
      </c>
      <c r="G9" s="88">
        <f t="shared" si="0"/>
        <v>-15.821067315903658</v>
      </c>
    </row>
    <row r="10" spans="2:7" ht="14.4">
      <c r="B10" s="136" t="s">
        <v>47</v>
      </c>
      <c r="C10" s="138">
        <f>SUM(C11:C22)</f>
        <v>13299.960000000001</v>
      </c>
      <c r="D10" s="144">
        <f>(C10/C4)*100</f>
        <v>47.297155049786632</v>
      </c>
      <c r="E10" s="145">
        <f>SUM(E11:E22)</f>
        <v>9757.59</v>
      </c>
      <c r="F10" s="144">
        <f>(E10/E4)*100</f>
        <v>26.47921302578019</v>
      </c>
      <c r="G10" s="145">
        <f t="shared" si="0"/>
        <v>-26.634441005837616</v>
      </c>
    </row>
    <row r="11" spans="2:7" ht="14.4">
      <c r="B11" s="137" t="s">
        <v>48</v>
      </c>
      <c r="C11" s="127">
        <v>295.69</v>
      </c>
      <c r="D11" s="146"/>
      <c r="E11" s="89">
        <v>441.31</v>
      </c>
      <c r="F11" s="146"/>
      <c r="G11" s="88"/>
    </row>
    <row r="12" spans="2:7" ht="14.4">
      <c r="B12" s="137" t="s">
        <v>49</v>
      </c>
      <c r="C12" s="127">
        <v>554.66999999999996</v>
      </c>
      <c r="D12" s="146"/>
      <c r="E12" s="89">
        <v>565.24</v>
      </c>
      <c r="F12" s="146"/>
      <c r="G12" s="88"/>
    </row>
    <row r="13" spans="2:7" ht="14.4">
      <c r="B13" s="137" t="s">
        <v>50</v>
      </c>
      <c r="C13" s="127">
        <v>377.46</v>
      </c>
      <c r="D13" s="146"/>
      <c r="E13" s="89">
        <v>387.26</v>
      </c>
      <c r="F13" s="146"/>
      <c r="G13" s="88"/>
    </row>
    <row r="14" spans="2:7" ht="14.4">
      <c r="B14" s="137" t="s">
        <v>51</v>
      </c>
      <c r="C14" s="127">
        <v>430.36</v>
      </c>
      <c r="D14" s="146"/>
      <c r="E14" s="89">
        <v>216.24</v>
      </c>
      <c r="F14" s="146"/>
      <c r="G14" s="88"/>
    </row>
    <row r="15" spans="2:7" ht="14.4">
      <c r="B15" s="137" t="s">
        <v>52</v>
      </c>
      <c r="C15" s="127">
        <v>1907.42</v>
      </c>
      <c r="D15" s="146"/>
      <c r="E15" s="89">
        <v>0</v>
      </c>
      <c r="F15" s="146"/>
      <c r="G15" s="88"/>
    </row>
    <row r="16" spans="2:7" ht="14.4">
      <c r="B16" s="137" t="s">
        <v>53</v>
      </c>
      <c r="C16" s="127">
        <v>2500</v>
      </c>
      <c r="D16" s="146"/>
      <c r="E16" s="89">
        <v>1260</v>
      </c>
      <c r="F16" s="146"/>
      <c r="G16" s="88"/>
    </row>
    <row r="17" spans="2:7" ht="14.4">
      <c r="B17" s="137" t="s">
        <v>54</v>
      </c>
      <c r="C17" s="127">
        <v>288</v>
      </c>
      <c r="D17" s="146"/>
      <c r="E17" s="89">
        <v>0</v>
      </c>
      <c r="F17" s="146"/>
      <c r="G17" s="88"/>
    </row>
    <row r="18" spans="2:7" ht="14.4">
      <c r="B18" s="137" t="s">
        <v>55</v>
      </c>
      <c r="C18" s="127">
        <v>870</v>
      </c>
      <c r="D18" s="146"/>
      <c r="E18" s="89">
        <v>870</v>
      </c>
      <c r="F18" s="146"/>
      <c r="G18" s="88"/>
    </row>
    <row r="19" spans="2:7" ht="14.4">
      <c r="B19" s="137" t="s">
        <v>56</v>
      </c>
      <c r="C19" s="127">
        <v>279.95999999999998</v>
      </c>
      <c r="D19" s="146"/>
      <c r="E19" s="89">
        <v>419.94</v>
      </c>
      <c r="F19" s="146"/>
      <c r="G19" s="88"/>
    </row>
    <row r="20" spans="2:7" ht="14.4">
      <c r="B20" s="137" t="s">
        <v>57</v>
      </c>
      <c r="C20" s="127">
        <v>2200</v>
      </c>
      <c r="D20" s="146"/>
      <c r="E20" s="89">
        <v>2200</v>
      </c>
      <c r="F20" s="146"/>
      <c r="G20" s="88"/>
    </row>
    <row r="21" spans="2:7" ht="14.4">
      <c r="B21" s="137" t="s">
        <v>58</v>
      </c>
      <c r="C21" s="127">
        <v>3000</v>
      </c>
      <c r="D21" s="146"/>
      <c r="E21" s="89">
        <v>3000</v>
      </c>
      <c r="F21" s="146"/>
      <c r="G21" s="88"/>
    </row>
    <row r="22" spans="2:7" ht="14.4">
      <c r="B22" s="137" t="s">
        <v>59</v>
      </c>
      <c r="C22" s="127">
        <v>596.4</v>
      </c>
      <c r="D22" s="146"/>
      <c r="E22" s="89">
        <v>397.6</v>
      </c>
      <c r="F22" s="146"/>
      <c r="G22" s="88"/>
    </row>
    <row r="23" spans="2:7" ht="14.4">
      <c r="B23" s="136" t="s">
        <v>60</v>
      </c>
      <c r="C23" s="138">
        <f>SUM(C24:C30)</f>
        <v>5552.94</v>
      </c>
      <c r="D23" s="144">
        <f>(C23/C4)*100</f>
        <v>19.747297297297294</v>
      </c>
      <c r="E23" s="145">
        <f>SUM(E24:E31)</f>
        <v>6112.58</v>
      </c>
      <c r="F23" s="144">
        <f>(E23/E4)*100</f>
        <v>16.587734056987788</v>
      </c>
      <c r="G23" s="155">
        <f t="shared" ref="G23" si="1">((E23/C23)-1)*100</f>
        <v>10.078264847090024</v>
      </c>
    </row>
    <row r="24" spans="2:7" ht="14.4">
      <c r="B24" s="137" t="s">
        <v>61</v>
      </c>
      <c r="C24" s="135">
        <v>730</v>
      </c>
      <c r="D24" s="146"/>
      <c r="E24" s="89">
        <v>400</v>
      </c>
      <c r="F24" s="146"/>
      <c r="G24" s="155"/>
    </row>
    <row r="25" spans="2:7" ht="14.4">
      <c r="B25" s="137" t="s">
        <v>62</v>
      </c>
      <c r="C25" s="135">
        <v>2100</v>
      </c>
      <c r="D25" s="146"/>
      <c r="E25" s="89">
        <v>2100</v>
      </c>
      <c r="F25" s="146"/>
      <c r="G25" s="155"/>
    </row>
    <row r="26" spans="2:7" ht="14.4">
      <c r="B26" s="137" t="s">
        <v>63</v>
      </c>
      <c r="C26" s="135">
        <v>174.99</v>
      </c>
      <c r="D26" s="146"/>
      <c r="E26" s="89">
        <v>174.99</v>
      </c>
      <c r="F26" s="146"/>
      <c r="G26" s="155"/>
    </row>
    <row r="27" spans="2:7" ht="14.4">
      <c r="B27" s="137" t="s">
        <v>64</v>
      </c>
      <c r="C27" s="135">
        <v>233.31</v>
      </c>
      <c r="D27" s="146"/>
      <c r="E27" s="89">
        <v>233.31</v>
      </c>
      <c r="F27" s="146"/>
      <c r="G27" s="155"/>
    </row>
    <row r="28" spans="2:7" ht="14.4">
      <c r="B28" s="137" t="s">
        <v>65</v>
      </c>
      <c r="C28" s="126">
        <v>200.64</v>
      </c>
      <c r="D28" s="146"/>
      <c r="E28" s="89">
        <v>431.19</v>
      </c>
      <c r="F28" s="146"/>
      <c r="G28" s="155"/>
    </row>
    <row r="29" spans="2:7" ht="14.4">
      <c r="B29" s="137" t="s">
        <v>66</v>
      </c>
      <c r="C29" s="127">
        <v>910</v>
      </c>
      <c r="D29" s="146"/>
      <c r="E29" s="89">
        <v>1227</v>
      </c>
      <c r="F29" s="146"/>
      <c r="G29" s="155"/>
    </row>
    <row r="30" spans="2:7" ht="14.4">
      <c r="B30" s="137" t="s">
        <v>67</v>
      </c>
      <c r="C30" s="126">
        <v>1204</v>
      </c>
      <c r="D30" s="146"/>
      <c r="E30" s="89">
        <v>1320</v>
      </c>
      <c r="F30" s="146"/>
      <c r="G30" s="155"/>
    </row>
    <row r="31" spans="2:7" ht="14.4">
      <c r="B31" s="137" t="s">
        <v>68</v>
      </c>
      <c r="C31" s="150">
        <v>0</v>
      </c>
      <c r="D31" s="146"/>
      <c r="E31" s="89">
        <v>226.09</v>
      </c>
      <c r="F31" s="146"/>
      <c r="G31" s="155"/>
    </row>
    <row r="32" spans="2:7" ht="15.75" customHeight="1">
      <c r="B32" s="136" t="s">
        <v>69</v>
      </c>
      <c r="C32" s="151">
        <v>0</v>
      </c>
      <c r="D32" s="145">
        <v>0</v>
      </c>
      <c r="E32" s="145">
        <v>0</v>
      </c>
      <c r="F32" s="144">
        <v>0</v>
      </c>
      <c r="G32" s="155">
        <v>0</v>
      </c>
    </row>
    <row r="33" spans="2:7" ht="15.75" customHeight="1">
      <c r="B33" s="130" t="s">
        <v>70</v>
      </c>
      <c r="C33" s="155">
        <f>C8-C9</f>
        <v>-8202.66</v>
      </c>
      <c r="D33" s="155">
        <f>(C33/C4)*100</f>
        <v>-29.170199146514936</v>
      </c>
      <c r="E33" s="88">
        <f>E8-E9</f>
        <v>614.77999999999702</v>
      </c>
      <c r="F33" s="88">
        <f>(E33/E4)*100</f>
        <v>1.6683310719131534</v>
      </c>
      <c r="G33" s="155">
        <f t="shared" ref="G32:G37" si="2">((E33/C33)-1)*100</f>
        <v>-107.49488580533628</v>
      </c>
    </row>
    <row r="34" spans="2:7" ht="15.75" customHeight="1">
      <c r="B34" s="130" t="s">
        <v>71</v>
      </c>
      <c r="C34" s="155">
        <v>0</v>
      </c>
      <c r="D34" s="155">
        <f>(C34/C4)*100</f>
        <v>0</v>
      </c>
      <c r="E34" s="88">
        <v>0</v>
      </c>
      <c r="F34" s="88">
        <f>(E34/E4)*100</f>
        <v>0</v>
      </c>
      <c r="G34" s="155">
        <v>0</v>
      </c>
    </row>
    <row r="35" spans="2:7" ht="15.75" customHeight="1">
      <c r="B35" s="160" t="s">
        <v>72</v>
      </c>
      <c r="C35" s="252">
        <f>C33+C34</f>
        <v>-8202.66</v>
      </c>
      <c r="D35" s="252">
        <f>(C35/C4)*100</f>
        <v>-29.170199146514936</v>
      </c>
      <c r="E35" s="161">
        <f>E33+E34</f>
        <v>614.77999999999702</v>
      </c>
      <c r="F35" s="162">
        <f>(E35/E4)*100</f>
        <v>1.6683310719131534</v>
      </c>
      <c r="G35" s="252">
        <f t="shared" si="2"/>
        <v>-107.49488580533628</v>
      </c>
    </row>
    <row r="36" spans="2:7" ht="15.75" customHeight="1">
      <c r="B36" s="163" t="s">
        <v>73</v>
      </c>
      <c r="C36" s="165">
        <v>0</v>
      </c>
      <c r="D36" s="165">
        <f>(C36/C4)*100</f>
        <v>0</v>
      </c>
      <c r="E36" s="164">
        <v>0</v>
      </c>
      <c r="F36" s="165">
        <f>(E36/E4)*100</f>
        <v>0</v>
      </c>
      <c r="G36" s="165">
        <v>0</v>
      </c>
    </row>
    <row r="37" spans="2:7" ht="15.75" customHeight="1">
      <c r="B37" s="136" t="s">
        <v>74</v>
      </c>
      <c r="C37" s="253">
        <f>C35+C36</f>
        <v>-8202.66</v>
      </c>
      <c r="D37" s="253">
        <f>(C37/C4)*100</f>
        <v>-29.170199146514936</v>
      </c>
      <c r="E37" s="166">
        <f>E35+E36</f>
        <v>614.77999999999702</v>
      </c>
      <c r="F37" s="166">
        <f>(E37/E4)*100</f>
        <v>1.6683310719131534</v>
      </c>
      <c r="G37" s="165">
        <f t="shared" si="2"/>
        <v>-107.49488580533628</v>
      </c>
    </row>
    <row r="38" spans="2:7" ht="15.75" customHeight="1">
      <c r="F38" s="1"/>
      <c r="G38" s="1"/>
    </row>
    <row r="39" spans="2:7" ht="15.75" customHeight="1">
      <c r="F39" s="1"/>
      <c r="G39" s="1"/>
    </row>
    <row r="40" spans="2:7" ht="15.75" customHeight="1">
      <c r="F40" s="1"/>
      <c r="G40" s="1"/>
    </row>
    <row r="41" spans="2:7" ht="15.75" customHeight="1">
      <c r="F41" s="1"/>
      <c r="G41" s="1"/>
    </row>
    <row r="42" spans="2:7" ht="15.75" customHeight="1">
      <c r="F42" s="1"/>
      <c r="G42" s="1"/>
    </row>
    <row r="43" spans="2:7" ht="15.75" customHeight="1">
      <c r="F43" s="1"/>
      <c r="G43" s="1"/>
    </row>
    <row r="44" spans="2:7" ht="15.75" customHeight="1">
      <c r="F44" s="1"/>
      <c r="G44" s="1"/>
    </row>
    <row r="45" spans="2:7" ht="15.75" customHeight="1">
      <c r="F45" s="1"/>
      <c r="G45" s="1"/>
    </row>
    <row r="46" spans="2:7" ht="15.75" customHeight="1">
      <c r="F46" s="1"/>
      <c r="G46" s="1"/>
    </row>
    <row r="47" spans="2:7" ht="15.75" customHeight="1">
      <c r="F47" s="1"/>
      <c r="G47" s="1"/>
    </row>
    <row r="48" spans="2:7" ht="15.75" customHeight="1">
      <c r="F48" s="1"/>
      <c r="G48" s="1"/>
    </row>
    <row r="49" spans="6:7" ht="15.75" customHeight="1">
      <c r="F49" s="1"/>
      <c r="G49" s="1"/>
    </row>
    <row r="50" spans="6:7" ht="15.75" customHeight="1">
      <c r="F50" s="1"/>
      <c r="G50" s="1"/>
    </row>
    <row r="51" spans="6:7" ht="15.75" customHeight="1">
      <c r="F51" s="1"/>
      <c r="G51" s="1"/>
    </row>
    <row r="52" spans="6:7" ht="15.75" customHeight="1">
      <c r="F52" s="1"/>
      <c r="G52" s="1"/>
    </row>
    <row r="53" spans="6:7" ht="15.75" customHeight="1">
      <c r="F53" s="1"/>
      <c r="G53" s="1"/>
    </row>
    <row r="54" spans="6:7" ht="15.75" customHeight="1">
      <c r="F54" s="1"/>
      <c r="G54" s="1"/>
    </row>
    <row r="55" spans="6:7" ht="15.75" customHeight="1">
      <c r="F55" s="1"/>
      <c r="G55" s="1"/>
    </row>
    <row r="56" spans="6:7" ht="15.75" customHeight="1">
      <c r="F56" s="1"/>
      <c r="G56" s="1"/>
    </row>
    <row r="57" spans="6:7" ht="15.75" customHeight="1">
      <c r="F57" s="1"/>
      <c r="G57" s="1"/>
    </row>
    <row r="58" spans="6:7" ht="15.75" customHeight="1">
      <c r="F58" s="1"/>
      <c r="G58" s="1"/>
    </row>
    <row r="59" spans="6:7" ht="15.75" customHeight="1">
      <c r="F59" s="1"/>
      <c r="G59" s="1"/>
    </row>
    <row r="60" spans="6:7" ht="15.75" customHeight="1">
      <c r="F60" s="1"/>
      <c r="G60" s="1"/>
    </row>
    <row r="61" spans="6:7" ht="15.75" customHeight="1">
      <c r="F61" s="1"/>
      <c r="G61" s="1"/>
    </row>
    <row r="62" spans="6:7" ht="15.75" customHeight="1">
      <c r="F62" s="1"/>
      <c r="G62" s="1"/>
    </row>
    <row r="63" spans="6:7" ht="15.75" customHeight="1">
      <c r="F63" s="1"/>
      <c r="G63" s="1"/>
    </row>
    <row r="64" spans="6:7" ht="15.75" customHeight="1">
      <c r="F64" s="1"/>
      <c r="G64" s="1"/>
    </row>
    <row r="65" spans="6:7" ht="15.75" customHeight="1">
      <c r="F65" s="1"/>
      <c r="G65" s="1"/>
    </row>
    <row r="66" spans="6:7" ht="15.75" customHeight="1">
      <c r="F66" s="1"/>
      <c r="G66" s="1"/>
    </row>
    <row r="67" spans="6:7" ht="15.75" customHeight="1">
      <c r="F67" s="1"/>
      <c r="G67" s="1"/>
    </row>
    <row r="68" spans="6:7" ht="15.75" customHeight="1">
      <c r="F68" s="1"/>
      <c r="G68" s="1"/>
    </row>
    <row r="69" spans="6:7" ht="15.75" customHeight="1">
      <c r="F69" s="1"/>
      <c r="G69" s="1"/>
    </row>
    <row r="70" spans="6:7" ht="15.75" customHeight="1">
      <c r="F70" s="1"/>
      <c r="G70" s="1"/>
    </row>
    <row r="71" spans="6:7" ht="15.75" customHeight="1">
      <c r="F71" s="1"/>
      <c r="G71" s="1"/>
    </row>
    <row r="72" spans="6:7" ht="15.75" customHeight="1">
      <c r="F72" s="1"/>
      <c r="G72" s="1"/>
    </row>
    <row r="73" spans="6:7" ht="15.75" customHeight="1">
      <c r="F73" s="1"/>
      <c r="G73" s="1"/>
    </row>
    <row r="74" spans="6:7" ht="15.75" customHeight="1">
      <c r="F74" s="1"/>
      <c r="G74" s="1"/>
    </row>
    <row r="75" spans="6:7" ht="15.75" customHeight="1">
      <c r="F75" s="1"/>
      <c r="G75" s="1"/>
    </row>
    <row r="76" spans="6:7" ht="15.75" customHeight="1">
      <c r="F76" s="1"/>
      <c r="G76" s="1"/>
    </row>
    <row r="77" spans="6:7" ht="15.75" customHeight="1">
      <c r="F77" s="1"/>
      <c r="G77" s="1"/>
    </row>
    <row r="78" spans="6:7" ht="15.75" customHeight="1">
      <c r="F78" s="1"/>
      <c r="G78" s="1"/>
    </row>
    <row r="79" spans="6:7" ht="15.75" customHeight="1">
      <c r="F79" s="1"/>
      <c r="G79" s="1"/>
    </row>
    <row r="80" spans="6:7" ht="15.75" customHeight="1">
      <c r="F80" s="1"/>
      <c r="G80" s="1"/>
    </row>
    <row r="81" spans="6:7" ht="15.75" customHeight="1">
      <c r="F81" s="1"/>
      <c r="G81" s="1"/>
    </row>
    <row r="82" spans="6:7" ht="15.75" customHeight="1">
      <c r="F82" s="1"/>
      <c r="G82" s="1"/>
    </row>
    <row r="83" spans="6:7" ht="15.75" customHeight="1">
      <c r="F83" s="1"/>
      <c r="G83" s="1"/>
    </row>
    <row r="84" spans="6:7" ht="15.75" customHeight="1">
      <c r="F84" s="1"/>
      <c r="G84" s="1"/>
    </row>
    <row r="85" spans="6:7" ht="15.75" customHeight="1">
      <c r="F85" s="1"/>
      <c r="G85" s="1"/>
    </row>
    <row r="86" spans="6:7" ht="15.75" customHeight="1">
      <c r="F86" s="1"/>
      <c r="G86" s="1"/>
    </row>
    <row r="87" spans="6:7" ht="15.75" customHeight="1">
      <c r="F87" s="1"/>
      <c r="G87" s="1"/>
    </row>
    <row r="88" spans="6:7" ht="15.75" customHeight="1">
      <c r="F88" s="1"/>
      <c r="G88" s="1"/>
    </row>
    <row r="89" spans="6:7" ht="15.75" customHeight="1">
      <c r="F89" s="1"/>
      <c r="G89" s="1"/>
    </row>
    <row r="90" spans="6:7" ht="15.75" customHeight="1">
      <c r="F90" s="1"/>
      <c r="G90" s="1"/>
    </row>
    <row r="91" spans="6:7" ht="15.75" customHeight="1">
      <c r="F91" s="1"/>
      <c r="G91" s="1"/>
    </row>
    <row r="92" spans="6:7" ht="15.75" customHeight="1">
      <c r="F92" s="1"/>
      <c r="G92" s="1"/>
    </row>
    <row r="93" spans="6:7" ht="15.75" customHeight="1">
      <c r="F93" s="1"/>
      <c r="G93" s="1"/>
    </row>
    <row r="94" spans="6:7" ht="15.75" customHeight="1">
      <c r="F94" s="1"/>
      <c r="G94" s="1"/>
    </row>
    <row r="95" spans="6:7" ht="15.75" customHeight="1">
      <c r="F95" s="1"/>
      <c r="G95" s="1"/>
    </row>
    <row r="96" spans="6:7" ht="15.75" customHeight="1">
      <c r="F96" s="1"/>
      <c r="G96" s="1"/>
    </row>
    <row r="97" spans="6:7" ht="15.75" customHeight="1">
      <c r="F97" s="1"/>
      <c r="G97" s="1"/>
    </row>
    <row r="98" spans="6:7" ht="15.75" customHeight="1">
      <c r="F98" s="1"/>
      <c r="G98" s="1"/>
    </row>
    <row r="99" spans="6:7" ht="15.75" customHeight="1">
      <c r="F99" s="1"/>
      <c r="G99" s="1"/>
    </row>
    <row r="100" spans="6:7" ht="15.75" customHeight="1">
      <c r="F100" s="1"/>
      <c r="G100" s="1"/>
    </row>
    <row r="101" spans="6:7" ht="15.75" customHeight="1">
      <c r="F101" s="1"/>
      <c r="G101" s="1"/>
    </row>
    <row r="102" spans="6:7" ht="15.75" customHeight="1">
      <c r="F102" s="1"/>
      <c r="G102" s="1"/>
    </row>
    <row r="103" spans="6:7" ht="15.75" customHeight="1">
      <c r="F103" s="1"/>
      <c r="G103" s="1"/>
    </row>
    <row r="104" spans="6:7" ht="15.75" customHeight="1">
      <c r="F104" s="1"/>
      <c r="G104" s="1"/>
    </row>
    <row r="105" spans="6:7" ht="15.75" customHeight="1">
      <c r="F105" s="1"/>
      <c r="G105" s="1"/>
    </row>
    <row r="106" spans="6:7" ht="15.75" customHeight="1">
      <c r="F106" s="1"/>
      <c r="G106" s="1"/>
    </row>
    <row r="107" spans="6:7" ht="15.75" customHeight="1">
      <c r="F107" s="1"/>
      <c r="G107" s="1"/>
    </row>
    <row r="108" spans="6:7" ht="15.75" customHeight="1">
      <c r="F108" s="1"/>
      <c r="G108" s="1"/>
    </row>
    <row r="109" spans="6:7" ht="15.75" customHeight="1">
      <c r="F109" s="1"/>
      <c r="G109" s="1"/>
    </row>
    <row r="110" spans="6:7" ht="15.75" customHeight="1">
      <c r="F110" s="1"/>
      <c r="G110" s="1"/>
    </row>
    <row r="111" spans="6:7" ht="15.75" customHeight="1">
      <c r="F111" s="1"/>
      <c r="G111" s="1"/>
    </row>
    <row r="112" spans="6:7" ht="15.75" customHeight="1">
      <c r="F112" s="1"/>
      <c r="G112" s="1"/>
    </row>
    <row r="113" spans="6:7" ht="15.75" customHeight="1">
      <c r="F113" s="1"/>
      <c r="G113" s="1"/>
    </row>
    <row r="114" spans="6:7" ht="15.75" customHeight="1">
      <c r="F114" s="1"/>
      <c r="G114" s="1"/>
    </row>
    <row r="115" spans="6:7" ht="15.75" customHeight="1">
      <c r="F115" s="1"/>
      <c r="G115" s="1"/>
    </row>
    <row r="116" spans="6:7" ht="15.75" customHeight="1">
      <c r="F116" s="1"/>
      <c r="G116" s="1"/>
    </row>
    <row r="117" spans="6:7" ht="15.75" customHeight="1">
      <c r="F117" s="1"/>
      <c r="G117" s="1"/>
    </row>
    <row r="118" spans="6:7" ht="15.75" customHeight="1">
      <c r="F118" s="1"/>
      <c r="G118" s="1"/>
    </row>
    <row r="119" spans="6:7" ht="15.75" customHeight="1">
      <c r="F119" s="1"/>
      <c r="G119" s="1"/>
    </row>
    <row r="120" spans="6:7" ht="15.75" customHeight="1">
      <c r="F120" s="1"/>
      <c r="G120" s="1"/>
    </row>
    <row r="121" spans="6:7" ht="15.75" customHeight="1">
      <c r="F121" s="1"/>
      <c r="G121" s="1"/>
    </row>
    <row r="122" spans="6:7" ht="15.75" customHeight="1">
      <c r="F122" s="1"/>
      <c r="G122" s="1"/>
    </row>
    <row r="123" spans="6:7" ht="15.75" customHeight="1">
      <c r="F123" s="1"/>
      <c r="G123" s="1"/>
    </row>
    <row r="124" spans="6:7" ht="15.75" customHeight="1">
      <c r="F124" s="1"/>
      <c r="G124" s="1"/>
    </row>
    <row r="125" spans="6:7" ht="15.75" customHeight="1">
      <c r="F125" s="1"/>
      <c r="G125" s="1"/>
    </row>
    <row r="126" spans="6:7" ht="15.75" customHeight="1">
      <c r="F126" s="1"/>
      <c r="G126" s="1"/>
    </row>
    <row r="127" spans="6:7" ht="15.75" customHeight="1">
      <c r="F127" s="1"/>
      <c r="G127" s="1"/>
    </row>
    <row r="128" spans="6:7" ht="15.75" customHeight="1">
      <c r="F128" s="1"/>
      <c r="G128" s="1"/>
    </row>
    <row r="129" spans="6:7" ht="15.75" customHeight="1">
      <c r="F129" s="1"/>
      <c r="G129" s="1"/>
    </row>
    <row r="130" spans="6:7" ht="15.75" customHeight="1">
      <c r="F130" s="1"/>
      <c r="G130" s="1"/>
    </row>
    <row r="131" spans="6:7" ht="15.75" customHeight="1">
      <c r="F131" s="1"/>
      <c r="G131" s="1"/>
    </row>
    <row r="132" spans="6:7" ht="15.75" customHeight="1">
      <c r="F132" s="1"/>
      <c r="G132" s="1"/>
    </row>
    <row r="133" spans="6:7" ht="15.75" customHeight="1">
      <c r="F133" s="1"/>
      <c r="G133" s="1"/>
    </row>
    <row r="134" spans="6:7" ht="15.75" customHeight="1">
      <c r="F134" s="1"/>
      <c r="G134" s="1"/>
    </row>
    <row r="135" spans="6:7" ht="15.75" customHeight="1">
      <c r="F135" s="1"/>
      <c r="G135" s="1"/>
    </row>
    <row r="136" spans="6:7" ht="15.75" customHeight="1">
      <c r="F136" s="1"/>
      <c r="G136" s="1"/>
    </row>
    <row r="137" spans="6:7" ht="15.75" customHeight="1">
      <c r="F137" s="1"/>
      <c r="G137" s="1"/>
    </row>
    <row r="138" spans="6:7" ht="15.75" customHeight="1">
      <c r="F138" s="1"/>
      <c r="G138" s="1"/>
    </row>
    <row r="139" spans="6:7" ht="15.75" customHeight="1">
      <c r="F139" s="1"/>
      <c r="G139" s="1"/>
    </row>
    <row r="140" spans="6:7" ht="15.75" customHeight="1">
      <c r="F140" s="1"/>
      <c r="G140" s="1"/>
    </row>
    <row r="141" spans="6:7" ht="15.75" customHeight="1">
      <c r="F141" s="1"/>
      <c r="G141" s="1"/>
    </row>
    <row r="142" spans="6:7" ht="15.75" customHeight="1">
      <c r="F142" s="1"/>
      <c r="G142" s="1"/>
    </row>
    <row r="143" spans="6:7" ht="15.75" customHeight="1">
      <c r="F143" s="1"/>
      <c r="G143" s="1"/>
    </row>
    <row r="144" spans="6:7" ht="15.75" customHeight="1">
      <c r="F144" s="1"/>
      <c r="G144" s="1"/>
    </row>
    <row r="145" spans="6:7" ht="15.75" customHeight="1">
      <c r="F145" s="1"/>
      <c r="G145" s="1"/>
    </row>
    <row r="146" spans="6:7" ht="15.75" customHeight="1">
      <c r="F146" s="1"/>
      <c r="G146" s="1"/>
    </row>
    <row r="147" spans="6:7" ht="15.75" customHeight="1">
      <c r="F147" s="1"/>
      <c r="G147" s="1"/>
    </row>
    <row r="148" spans="6:7" ht="15.75" customHeight="1">
      <c r="F148" s="1"/>
      <c r="G148" s="1"/>
    </row>
    <row r="149" spans="6:7" ht="15.75" customHeight="1">
      <c r="F149" s="1"/>
      <c r="G149" s="1"/>
    </row>
    <row r="150" spans="6:7" ht="15.75" customHeight="1">
      <c r="F150" s="1"/>
      <c r="G150" s="1"/>
    </row>
    <row r="151" spans="6:7" ht="15.75" customHeight="1">
      <c r="F151" s="1"/>
      <c r="G151" s="1"/>
    </row>
    <row r="152" spans="6:7" ht="15.75" customHeight="1">
      <c r="F152" s="1"/>
      <c r="G152" s="1"/>
    </row>
    <row r="153" spans="6:7" ht="15.75" customHeight="1">
      <c r="F153" s="1"/>
      <c r="G153" s="1"/>
    </row>
    <row r="154" spans="6:7" ht="15.75" customHeight="1">
      <c r="F154" s="1"/>
      <c r="G154" s="1"/>
    </row>
    <row r="155" spans="6:7" ht="15.75" customHeight="1">
      <c r="F155" s="1"/>
      <c r="G155" s="1"/>
    </row>
    <row r="156" spans="6:7" ht="15.75" customHeight="1">
      <c r="F156" s="1"/>
      <c r="G156" s="1"/>
    </row>
    <row r="157" spans="6:7" ht="15.75" customHeight="1">
      <c r="F157" s="1"/>
      <c r="G157" s="1"/>
    </row>
    <row r="158" spans="6:7" ht="15.75" customHeight="1">
      <c r="F158" s="1"/>
      <c r="G158" s="1"/>
    </row>
    <row r="159" spans="6:7" ht="15.75" customHeight="1">
      <c r="F159" s="1"/>
      <c r="G159" s="1"/>
    </row>
    <row r="160" spans="6:7" ht="15.75" customHeight="1">
      <c r="F160" s="1"/>
      <c r="G160" s="1"/>
    </row>
    <row r="161" spans="6:7" ht="15.75" customHeight="1">
      <c r="F161" s="1"/>
      <c r="G161" s="1"/>
    </row>
    <row r="162" spans="6:7" ht="15.75" customHeight="1">
      <c r="F162" s="1"/>
      <c r="G162" s="1"/>
    </row>
    <row r="163" spans="6:7" ht="15.75" customHeight="1">
      <c r="F163" s="1"/>
      <c r="G163" s="1"/>
    </row>
    <row r="164" spans="6:7" ht="15.75" customHeight="1">
      <c r="F164" s="1"/>
      <c r="G164" s="1"/>
    </row>
    <row r="165" spans="6:7" ht="15.75" customHeight="1">
      <c r="F165" s="1"/>
      <c r="G165" s="1"/>
    </row>
    <row r="166" spans="6:7" ht="15.75" customHeight="1">
      <c r="F166" s="1"/>
      <c r="G166" s="1"/>
    </row>
    <row r="167" spans="6:7" ht="15.75" customHeight="1">
      <c r="F167" s="1"/>
      <c r="G167" s="1"/>
    </row>
    <row r="168" spans="6:7" ht="15.75" customHeight="1">
      <c r="F168" s="1"/>
      <c r="G168" s="1"/>
    </row>
    <row r="169" spans="6:7" ht="15.75" customHeight="1">
      <c r="F169" s="1"/>
      <c r="G169" s="1"/>
    </row>
    <row r="170" spans="6:7" ht="15.75" customHeight="1">
      <c r="F170" s="1"/>
      <c r="G170" s="1"/>
    </row>
    <row r="171" spans="6:7" ht="15.75" customHeight="1">
      <c r="F171" s="1"/>
      <c r="G171" s="1"/>
    </row>
    <row r="172" spans="6:7" ht="15.75" customHeight="1">
      <c r="F172" s="1"/>
      <c r="G172" s="1"/>
    </row>
    <row r="173" spans="6:7" ht="15.75" customHeight="1">
      <c r="F173" s="1"/>
      <c r="G173" s="1"/>
    </row>
    <row r="174" spans="6:7" ht="15.75" customHeight="1">
      <c r="F174" s="1"/>
      <c r="G174" s="1"/>
    </row>
    <row r="175" spans="6:7" ht="15.75" customHeight="1">
      <c r="F175" s="1"/>
      <c r="G175" s="1"/>
    </row>
    <row r="176" spans="6:7" ht="15.75" customHeight="1">
      <c r="F176" s="1"/>
      <c r="G176" s="1"/>
    </row>
    <row r="177" spans="6:7" ht="15.75" customHeight="1">
      <c r="F177" s="1"/>
      <c r="G177" s="1"/>
    </row>
    <row r="178" spans="6:7" ht="15.75" customHeight="1">
      <c r="F178" s="1"/>
      <c r="G178" s="1"/>
    </row>
    <row r="179" spans="6:7" ht="15.75" customHeight="1">
      <c r="F179" s="1"/>
      <c r="G179" s="1"/>
    </row>
    <row r="180" spans="6:7" ht="15.75" customHeight="1">
      <c r="F180" s="1"/>
      <c r="G180" s="1"/>
    </row>
    <row r="181" spans="6:7" ht="15.75" customHeight="1">
      <c r="F181" s="1"/>
      <c r="G181" s="1"/>
    </row>
    <row r="182" spans="6:7" ht="15.75" customHeight="1">
      <c r="F182" s="1"/>
      <c r="G182" s="1"/>
    </row>
    <row r="183" spans="6:7" ht="15.75" customHeight="1">
      <c r="F183" s="1"/>
      <c r="G183" s="1"/>
    </row>
    <row r="184" spans="6:7" ht="15.75" customHeight="1">
      <c r="F184" s="1"/>
      <c r="G184" s="1"/>
    </row>
    <row r="185" spans="6:7" ht="15.75" customHeight="1">
      <c r="F185" s="1"/>
      <c r="G185" s="1"/>
    </row>
    <row r="186" spans="6:7" ht="15.75" customHeight="1">
      <c r="F186" s="1"/>
      <c r="G186" s="1"/>
    </row>
    <row r="187" spans="6:7" ht="15.75" customHeight="1">
      <c r="F187" s="1"/>
      <c r="G187" s="1"/>
    </row>
    <row r="188" spans="6:7" ht="15.75" customHeight="1">
      <c r="F188" s="1"/>
      <c r="G188" s="1"/>
    </row>
    <row r="189" spans="6:7" ht="15.75" customHeight="1">
      <c r="F189" s="1"/>
      <c r="G189" s="1"/>
    </row>
    <row r="190" spans="6:7" ht="15.75" customHeight="1">
      <c r="F190" s="1"/>
      <c r="G190" s="1"/>
    </row>
    <row r="191" spans="6:7" ht="15.75" customHeight="1">
      <c r="F191" s="1"/>
      <c r="G191" s="1"/>
    </row>
    <row r="192" spans="6:7" ht="15.75" customHeight="1">
      <c r="F192" s="1"/>
      <c r="G192" s="1"/>
    </row>
    <row r="193" spans="6:7" ht="15.75" customHeight="1">
      <c r="F193" s="1"/>
      <c r="G193" s="1"/>
    </row>
    <row r="194" spans="6:7" ht="15.75" customHeight="1">
      <c r="F194" s="1"/>
      <c r="G194" s="1"/>
    </row>
    <row r="195" spans="6:7" ht="15.75" customHeight="1">
      <c r="F195" s="1"/>
      <c r="G195" s="1"/>
    </row>
    <row r="196" spans="6:7" ht="15.75" customHeight="1">
      <c r="F196" s="1"/>
      <c r="G196" s="1"/>
    </row>
    <row r="197" spans="6:7" ht="15.75" customHeight="1">
      <c r="F197" s="1"/>
      <c r="G197" s="1"/>
    </row>
    <row r="198" spans="6:7" ht="15.75" customHeight="1">
      <c r="F198" s="1"/>
      <c r="G198" s="1"/>
    </row>
    <row r="199" spans="6:7" ht="15.75" customHeight="1">
      <c r="F199" s="1"/>
      <c r="G199" s="1"/>
    </row>
    <row r="200" spans="6:7" ht="15.75" customHeight="1">
      <c r="F200" s="1"/>
      <c r="G200" s="1"/>
    </row>
    <row r="201" spans="6:7" ht="15.75" customHeight="1">
      <c r="F201" s="1"/>
      <c r="G201" s="1"/>
    </row>
    <row r="202" spans="6:7" ht="15.75" customHeight="1">
      <c r="F202" s="1"/>
      <c r="G202" s="1"/>
    </row>
    <row r="203" spans="6:7" ht="15.75" customHeight="1">
      <c r="F203" s="1"/>
      <c r="G203" s="1"/>
    </row>
    <row r="204" spans="6:7" ht="15.75" customHeight="1">
      <c r="F204" s="1"/>
      <c r="G204" s="1"/>
    </row>
    <row r="205" spans="6:7" ht="15.75" customHeight="1">
      <c r="F205" s="1"/>
      <c r="G205" s="1"/>
    </row>
    <row r="206" spans="6:7" ht="15.75" customHeight="1">
      <c r="F206" s="1"/>
      <c r="G206" s="1"/>
    </row>
    <row r="207" spans="6:7" ht="15.75" customHeight="1">
      <c r="F207" s="1"/>
      <c r="G207" s="1"/>
    </row>
    <row r="208" spans="6:7" ht="15.75" customHeight="1">
      <c r="F208" s="1"/>
      <c r="G208" s="1"/>
    </row>
    <row r="209" spans="6:7" ht="15.75" customHeight="1">
      <c r="F209" s="1"/>
      <c r="G209" s="1"/>
    </row>
    <row r="210" spans="6:7" ht="15.75" customHeight="1">
      <c r="F210" s="1"/>
      <c r="G210" s="1"/>
    </row>
    <row r="211" spans="6:7" ht="15.75" customHeight="1">
      <c r="F211" s="1"/>
      <c r="G211" s="1"/>
    </row>
    <row r="212" spans="6:7" ht="15.75" customHeight="1">
      <c r="F212" s="1"/>
      <c r="G212" s="1"/>
    </row>
    <row r="213" spans="6:7" ht="15.75" customHeight="1">
      <c r="F213" s="1"/>
      <c r="G213" s="1"/>
    </row>
    <row r="214" spans="6:7" ht="15.75" customHeight="1">
      <c r="F214" s="1"/>
      <c r="G214" s="1"/>
    </row>
    <row r="215" spans="6:7" ht="15.75" customHeight="1">
      <c r="F215" s="1"/>
      <c r="G215" s="1"/>
    </row>
    <row r="216" spans="6:7" ht="15.75" customHeight="1">
      <c r="F216" s="1"/>
      <c r="G216" s="1"/>
    </row>
    <row r="217" spans="6:7" ht="15.75" customHeight="1">
      <c r="F217" s="1"/>
      <c r="G217" s="1"/>
    </row>
    <row r="218" spans="6:7" ht="15.75" customHeight="1">
      <c r="F218" s="1"/>
      <c r="G218" s="1"/>
    </row>
    <row r="219" spans="6:7" ht="15.75" customHeight="1">
      <c r="F219" s="1"/>
      <c r="G219" s="1"/>
    </row>
    <row r="220" spans="6:7" ht="15.75" customHeight="1">
      <c r="F220" s="1"/>
      <c r="G220" s="1"/>
    </row>
    <row r="221" spans="6:7" ht="15.75" customHeight="1">
      <c r="F221" s="1"/>
      <c r="G221" s="1"/>
    </row>
    <row r="222" spans="6:7" ht="15.75" customHeight="1">
      <c r="F222" s="1"/>
      <c r="G222" s="1"/>
    </row>
    <row r="223" spans="6:7" ht="15.75" customHeight="1">
      <c r="F223" s="1"/>
      <c r="G223" s="1"/>
    </row>
    <row r="224" spans="6:7" ht="15.75" customHeight="1">
      <c r="F224" s="1"/>
      <c r="G224" s="1"/>
    </row>
    <row r="225" spans="6:7" ht="15.75" customHeight="1">
      <c r="F225" s="1"/>
      <c r="G225" s="1"/>
    </row>
    <row r="226" spans="6:7" ht="15.75" customHeight="1">
      <c r="F226" s="1"/>
      <c r="G226" s="1"/>
    </row>
    <row r="227" spans="6:7" ht="15.75" customHeight="1">
      <c r="F227" s="1"/>
      <c r="G227" s="1"/>
    </row>
    <row r="228" spans="6:7" ht="15.75" customHeight="1">
      <c r="F228" s="1"/>
      <c r="G228" s="1"/>
    </row>
    <row r="229" spans="6:7" ht="15.75" customHeight="1">
      <c r="F229" s="1"/>
      <c r="G229" s="1"/>
    </row>
    <row r="230" spans="6:7" ht="15.75" customHeight="1">
      <c r="F230" s="1"/>
      <c r="G230" s="1"/>
    </row>
    <row r="231" spans="6:7" ht="15.75" customHeight="1">
      <c r="F231" s="1"/>
      <c r="G231" s="1"/>
    </row>
    <row r="232" spans="6:7" ht="15.75" customHeight="1">
      <c r="F232" s="1"/>
      <c r="G232" s="1"/>
    </row>
    <row r="233" spans="6:7" ht="15.75" customHeight="1">
      <c r="F233" s="1"/>
      <c r="G233" s="1"/>
    </row>
    <row r="234" spans="6:7" ht="15.75" customHeight="1">
      <c r="F234" s="1"/>
      <c r="G234" s="1"/>
    </row>
    <row r="235" spans="6:7" ht="15.75" customHeight="1">
      <c r="F235" s="1"/>
      <c r="G235" s="1"/>
    </row>
    <row r="236" spans="6:7" ht="15.75" customHeight="1">
      <c r="F236" s="1"/>
      <c r="G236" s="1"/>
    </row>
    <row r="237" spans="6:7" ht="15.75" customHeight="1">
      <c r="F237" s="1"/>
      <c r="G237" s="1"/>
    </row>
    <row r="238" spans="6:7" ht="15.75" customHeight="1">
      <c r="F238" s="1"/>
      <c r="G238" s="1"/>
    </row>
    <row r="239" spans="6:7" ht="15.75" customHeight="1">
      <c r="F239" s="1"/>
      <c r="G239" s="1"/>
    </row>
    <row r="240" spans="6:7" ht="15.75" customHeight="1">
      <c r="F240" s="1"/>
      <c r="G240" s="1"/>
    </row>
    <row r="241" spans="6:7" ht="15.75" customHeight="1">
      <c r="F241" s="1"/>
      <c r="G241" s="1"/>
    </row>
    <row r="242" spans="6:7" ht="15.75" customHeight="1">
      <c r="F242" s="1"/>
      <c r="G242" s="1"/>
    </row>
    <row r="243" spans="6:7" ht="15.75" customHeight="1">
      <c r="F243" s="1"/>
      <c r="G243" s="1"/>
    </row>
    <row r="244" spans="6:7" ht="15.75" customHeight="1">
      <c r="F244" s="1"/>
      <c r="G244" s="1"/>
    </row>
    <row r="245" spans="6:7" ht="15.75" customHeight="1">
      <c r="F245" s="1"/>
      <c r="G245" s="1"/>
    </row>
    <row r="246" spans="6:7" ht="15.75" customHeight="1">
      <c r="F246" s="1"/>
      <c r="G246" s="1"/>
    </row>
    <row r="247" spans="6:7" ht="15.75" customHeight="1">
      <c r="F247" s="1"/>
      <c r="G247" s="1"/>
    </row>
    <row r="248" spans="6:7" ht="15.75" customHeight="1">
      <c r="F248" s="1"/>
      <c r="G248" s="1"/>
    </row>
    <row r="249" spans="6:7" ht="15.75" customHeight="1">
      <c r="F249" s="1"/>
      <c r="G249" s="1"/>
    </row>
    <row r="250" spans="6:7" ht="15.75" customHeight="1">
      <c r="F250" s="1"/>
      <c r="G250" s="1"/>
    </row>
    <row r="251" spans="6:7" ht="15.75" customHeight="1">
      <c r="F251" s="1"/>
      <c r="G251" s="1"/>
    </row>
    <row r="252" spans="6:7" ht="15.75" customHeight="1">
      <c r="F252" s="1"/>
      <c r="G252" s="1"/>
    </row>
    <row r="253" spans="6:7" ht="15.75" customHeight="1">
      <c r="F253" s="1"/>
      <c r="G253" s="1"/>
    </row>
    <row r="254" spans="6:7" ht="15.75" customHeight="1">
      <c r="F254" s="1"/>
      <c r="G254" s="1"/>
    </row>
    <row r="255" spans="6:7" ht="15.75" customHeight="1">
      <c r="F255" s="1"/>
      <c r="G255" s="1"/>
    </row>
    <row r="256" spans="6:7" ht="15.75" customHeight="1">
      <c r="F256" s="1"/>
      <c r="G256" s="1"/>
    </row>
    <row r="257" spans="6:7" ht="15.75" customHeight="1">
      <c r="F257" s="1"/>
      <c r="G257" s="1"/>
    </row>
    <row r="258" spans="6:7" ht="15.75" customHeight="1">
      <c r="F258" s="1"/>
      <c r="G258" s="1"/>
    </row>
    <row r="259" spans="6:7" ht="15.75" customHeight="1">
      <c r="F259" s="1"/>
      <c r="G259" s="1"/>
    </row>
    <row r="260" spans="6:7" ht="15.75" customHeight="1">
      <c r="F260" s="1"/>
      <c r="G260" s="1"/>
    </row>
    <row r="261" spans="6:7" ht="15.75" customHeight="1">
      <c r="F261" s="1"/>
      <c r="G261" s="1"/>
    </row>
    <row r="262" spans="6:7" ht="15.75" customHeight="1">
      <c r="F262" s="1"/>
      <c r="G262" s="1"/>
    </row>
    <row r="263" spans="6:7" ht="15.75" customHeight="1">
      <c r="F263" s="1"/>
      <c r="G263" s="1"/>
    </row>
    <row r="264" spans="6:7" ht="15.75" customHeight="1">
      <c r="F264" s="1"/>
      <c r="G264" s="1"/>
    </row>
    <row r="265" spans="6:7" ht="15.75" customHeight="1">
      <c r="F265" s="1"/>
      <c r="G265" s="1"/>
    </row>
    <row r="266" spans="6:7" ht="15.75" customHeight="1">
      <c r="F266" s="1"/>
      <c r="G266" s="1"/>
    </row>
    <row r="267" spans="6:7" ht="15.75" customHeight="1">
      <c r="F267" s="1"/>
      <c r="G267" s="1"/>
    </row>
    <row r="268" spans="6:7" ht="15.75" customHeight="1">
      <c r="F268" s="1"/>
      <c r="G268" s="1"/>
    </row>
    <row r="269" spans="6:7" ht="15.75" customHeight="1">
      <c r="F269" s="1"/>
      <c r="G269" s="1"/>
    </row>
    <row r="270" spans="6:7" ht="15.75" customHeight="1">
      <c r="F270" s="1"/>
      <c r="G270" s="1"/>
    </row>
    <row r="271" spans="6:7" ht="15.75" customHeight="1">
      <c r="F271" s="1"/>
      <c r="G271" s="1"/>
    </row>
    <row r="272" spans="6:7" ht="15.75" customHeight="1">
      <c r="F272" s="1"/>
      <c r="G272" s="1"/>
    </row>
    <row r="273" spans="6:7" ht="15.75" customHeight="1">
      <c r="F273" s="1"/>
      <c r="G273" s="1"/>
    </row>
    <row r="274" spans="6:7" ht="15.75" customHeight="1">
      <c r="F274" s="1"/>
      <c r="G274" s="1"/>
    </row>
    <row r="275" spans="6:7" ht="15.75" customHeight="1">
      <c r="F275" s="1"/>
      <c r="G275" s="1"/>
    </row>
    <row r="276" spans="6:7" ht="15.75" customHeight="1">
      <c r="F276" s="1"/>
      <c r="G276" s="1"/>
    </row>
    <row r="277" spans="6:7" ht="15.75" customHeight="1">
      <c r="F277" s="1"/>
      <c r="G277" s="1"/>
    </row>
    <row r="278" spans="6:7" ht="15.75" customHeight="1">
      <c r="F278" s="1"/>
      <c r="G278" s="1"/>
    </row>
    <row r="279" spans="6:7" ht="15.75" customHeight="1">
      <c r="F279" s="1"/>
      <c r="G279" s="1"/>
    </row>
    <row r="280" spans="6:7" ht="15.75" customHeight="1">
      <c r="F280" s="1"/>
      <c r="G280" s="1"/>
    </row>
    <row r="281" spans="6:7" ht="15.75" customHeight="1">
      <c r="F281" s="1"/>
      <c r="G281" s="1"/>
    </row>
    <row r="282" spans="6:7" ht="15.75" customHeight="1">
      <c r="F282" s="1"/>
      <c r="G282" s="1"/>
    </row>
    <row r="283" spans="6:7" ht="15.75" customHeight="1">
      <c r="F283" s="1"/>
      <c r="G283" s="1"/>
    </row>
    <row r="284" spans="6:7" ht="15.75" customHeight="1">
      <c r="F284" s="1"/>
      <c r="G284" s="1"/>
    </row>
    <row r="285" spans="6:7" ht="15.75" customHeight="1">
      <c r="F285" s="1"/>
      <c r="G285" s="1"/>
    </row>
    <row r="286" spans="6:7" ht="15.75" customHeight="1">
      <c r="F286" s="1"/>
      <c r="G286" s="1"/>
    </row>
    <row r="287" spans="6:7" ht="15.75" customHeight="1">
      <c r="F287" s="1"/>
      <c r="G287" s="1"/>
    </row>
    <row r="288" spans="6:7" ht="15.75" customHeight="1">
      <c r="F288" s="1"/>
      <c r="G288" s="1"/>
    </row>
    <row r="289" spans="6:7" ht="15.75" customHeight="1">
      <c r="F289" s="1"/>
      <c r="G289" s="1"/>
    </row>
    <row r="290" spans="6:7" ht="15.75" customHeight="1">
      <c r="F290" s="1"/>
      <c r="G290" s="1"/>
    </row>
    <row r="291" spans="6:7" ht="15.75" customHeight="1">
      <c r="F291" s="1"/>
      <c r="G291" s="1"/>
    </row>
    <row r="292" spans="6:7" ht="15.75" customHeight="1">
      <c r="F292" s="1"/>
      <c r="G292" s="1"/>
    </row>
    <row r="293" spans="6:7" ht="15.75" customHeight="1">
      <c r="F293" s="1"/>
      <c r="G293" s="1"/>
    </row>
    <row r="294" spans="6:7" ht="15.75" customHeight="1">
      <c r="F294" s="1"/>
      <c r="G294" s="1"/>
    </row>
    <row r="295" spans="6:7" ht="15.75" customHeight="1">
      <c r="F295" s="1"/>
      <c r="G295" s="1"/>
    </row>
    <row r="296" spans="6:7" ht="15.75" customHeight="1">
      <c r="F296" s="1"/>
      <c r="G296" s="1"/>
    </row>
    <row r="297" spans="6:7" ht="15.75" customHeight="1">
      <c r="F297" s="1"/>
      <c r="G297" s="1"/>
    </row>
    <row r="298" spans="6:7" ht="15.75" customHeight="1">
      <c r="F298" s="1"/>
      <c r="G298" s="1"/>
    </row>
    <row r="299" spans="6:7" ht="15.75" customHeight="1">
      <c r="F299" s="1"/>
      <c r="G299" s="1"/>
    </row>
    <row r="300" spans="6:7" ht="15.75" customHeight="1">
      <c r="F300" s="1"/>
      <c r="G300" s="1"/>
    </row>
    <row r="301" spans="6:7" ht="15.75" customHeight="1">
      <c r="F301" s="1"/>
      <c r="G301" s="1"/>
    </row>
    <row r="302" spans="6:7" ht="15.75" customHeight="1">
      <c r="F302" s="1"/>
      <c r="G302" s="1"/>
    </row>
    <row r="303" spans="6:7" ht="15.75" customHeight="1">
      <c r="F303" s="1"/>
      <c r="G303" s="1"/>
    </row>
    <row r="304" spans="6:7" ht="15.75" customHeight="1">
      <c r="F304" s="1"/>
      <c r="G304" s="1"/>
    </row>
    <row r="305" spans="6:7" ht="15.75" customHeight="1">
      <c r="F305" s="1"/>
      <c r="G305" s="1"/>
    </row>
    <row r="306" spans="6:7" ht="15.75" customHeight="1">
      <c r="F306" s="1"/>
      <c r="G306" s="1"/>
    </row>
    <row r="307" spans="6:7" ht="15.75" customHeight="1">
      <c r="F307" s="1"/>
      <c r="G307" s="1"/>
    </row>
    <row r="308" spans="6:7" ht="15.75" customHeight="1">
      <c r="F308" s="1"/>
      <c r="G308" s="1"/>
    </row>
    <row r="309" spans="6:7" ht="15.75" customHeight="1">
      <c r="F309" s="1"/>
      <c r="G309" s="1"/>
    </row>
    <row r="310" spans="6:7" ht="15.75" customHeight="1">
      <c r="F310" s="1"/>
      <c r="G310" s="1"/>
    </row>
    <row r="311" spans="6:7" ht="15.75" customHeight="1">
      <c r="F311" s="1"/>
      <c r="G311" s="1"/>
    </row>
    <row r="312" spans="6:7" ht="15.75" customHeight="1">
      <c r="F312" s="1"/>
      <c r="G312" s="1"/>
    </row>
    <row r="313" spans="6:7" ht="15.75" customHeight="1">
      <c r="F313" s="1"/>
      <c r="G313" s="1"/>
    </row>
    <row r="314" spans="6:7" ht="15.75" customHeight="1">
      <c r="F314" s="1"/>
      <c r="G314" s="1"/>
    </row>
    <row r="315" spans="6:7" ht="15.75" customHeight="1">
      <c r="F315" s="1"/>
      <c r="G315" s="1"/>
    </row>
    <row r="316" spans="6:7" ht="15.75" customHeight="1">
      <c r="F316" s="1"/>
      <c r="G316" s="1"/>
    </row>
    <row r="317" spans="6:7" ht="15.75" customHeight="1">
      <c r="F317" s="1"/>
      <c r="G317" s="1"/>
    </row>
    <row r="318" spans="6:7" ht="15.75" customHeight="1">
      <c r="F318" s="1"/>
      <c r="G318" s="1"/>
    </row>
    <row r="319" spans="6:7" ht="15.75" customHeight="1">
      <c r="F319" s="1"/>
      <c r="G319" s="1"/>
    </row>
    <row r="320" spans="6:7" ht="15.75" customHeight="1">
      <c r="F320" s="1"/>
      <c r="G320" s="1"/>
    </row>
    <row r="321" spans="6:7" ht="15.75" customHeight="1">
      <c r="F321" s="1"/>
      <c r="G321" s="1"/>
    </row>
    <row r="322" spans="6:7" ht="15.75" customHeight="1">
      <c r="F322" s="1"/>
      <c r="G322" s="1"/>
    </row>
    <row r="323" spans="6:7" ht="15.75" customHeight="1">
      <c r="F323" s="1"/>
      <c r="G323" s="1"/>
    </row>
    <row r="324" spans="6:7" ht="15.75" customHeight="1">
      <c r="F324" s="1"/>
      <c r="G324" s="1"/>
    </row>
    <row r="325" spans="6:7" ht="15.75" customHeight="1">
      <c r="F325" s="1"/>
      <c r="G325" s="1"/>
    </row>
    <row r="326" spans="6:7" ht="15.75" customHeight="1">
      <c r="F326" s="1"/>
      <c r="G326" s="1"/>
    </row>
    <row r="327" spans="6:7" ht="15.75" customHeight="1">
      <c r="F327" s="1"/>
      <c r="G327" s="1"/>
    </row>
    <row r="328" spans="6:7" ht="15.75" customHeight="1">
      <c r="F328" s="1"/>
      <c r="G328" s="1"/>
    </row>
    <row r="329" spans="6:7" ht="15.75" customHeight="1">
      <c r="F329" s="1"/>
      <c r="G329" s="1"/>
    </row>
    <row r="330" spans="6:7" ht="15.75" customHeight="1">
      <c r="F330" s="1"/>
      <c r="G330" s="1"/>
    </row>
    <row r="331" spans="6:7" ht="15.75" customHeight="1">
      <c r="F331" s="1"/>
      <c r="G331" s="1"/>
    </row>
    <row r="332" spans="6:7" ht="15.75" customHeight="1">
      <c r="F332" s="1"/>
      <c r="G332" s="1"/>
    </row>
    <row r="333" spans="6:7" ht="15.75" customHeight="1">
      <c r="F333" s="1"/>
      <c r="G333" s="1"/>
    </row>
    <row r="334" spans="6:7" ht="15.75" customHeight="1">
      <c r="F334" s="1"/>
      <c r="G334" s="1"/>
    </row>
    <row r="335" spans="6:7" ht="15.75" customHeight="1">
      <c r="F335" s="1"/>
      <c r="G335" s="1"/>
    </row>
    <row r="336" spans="6:7" ht="15.75" customHeight="1">
      <c r="F336" s="1"/>
      <c r="G336" s="1"/>
    </row>
    <row r="337" spans="6:7" ht="15.75" customHeight="1">
      <c r="F337" s="1"/>
      <c r="G337" s="1"/>
    </row>
    <row r="338" spans="6:7" ht="15.75" customHeight="1">
      <c r="F338" s="1"/>
      <c r="G338" s="1"/>
    </row>
    <row r="339" spans="6:7" ht="15.75" customHeight="1">
      <c r="F339" s="1"/>
      <c r="G339" s="1"/>
    </row>
    <row r="340" spans="6:7" ht="15.75" customHeight="1">
      <c r="F340" s="1"/>
      <c r="G340" s="1"/>
    </row>
    <row r="341" spans="6:7" ht="15.75" customHeight="1">
      <c r="F341" s="1"/>
      <c r="G341" s="1"/>
    </row>
    <row r="342" spans="6:7" ht="15.75" customHeight="1">
      <c r="F342" s="1"/>
      <c r="G342" s="1"/>
    </row>
    <row r="343" spans="6:7" ht="15.75" customHeight="1">
      <c r="F343" s="1"/>
      <c r="G343" s="1"/>
    </row>
    <row r="344" spans="6:7" ht="15.75" customHeight="1">
      <c r="F344" s="1"/>
      <c r="G344" s="1"/>
    </row>
    <row r="345" spans="6:7" ht="15.75" customHeight="1">
      <c r="F345" s="1"/>
      <c r="G345" s="1"/>
    </row>
    <row r="346" spans="6:7" ht="15.75" customHeight="1">
      <c r="F346" s="1"/>
      <c r="G346" s="1"/>
    </row>
    <row r="347" spans="6:7" ht="15.75" customHeight="1">
      <c r="F347" s="1"/>
      <c r="G347" s="1"/>
    </row>
    <row r="348" spans="6:7" ht="15.75" customHeight="1">
      <c r="F348" s="1"/>
      <c r="G348" s="1"/>
    </row>
    <row r="349" spans="6:7" ht="15.75" customHeight="1">
      <c r="F349" s="1"/>
      <c r="G349" s="1"/>
    </row>
    <row r="350" spans="6:7" ht="15.75" customHeight="1">
      <c r="F350" s="1"/>
      <c r="G350" s="1"/>
    </row>
    <row r="351" spans="6:7" ht="15.75" customHeight="1">
      <c r="F351" s="1"/>
      <c r="G351" s="1"/>
    </row>
    <row r="352" spans="6:7" ht="15.75" customHeight="1">
      <c r="F352" s="1"/>
      <c r="G352" s="1"/>
    </row>
    <row r="353" spans="6:7" ht="15.75" customHeight="1">
      <c r="F353" s="1"/>
      <c r="G353" s="1"/>
    </row>
    <row r="354" spans="6:7" ht="15.75" customHeight="1">
      <c r="F354" s="1"/>
      <c r="G354" s="1"/>
    </row>
    <row r="355" spans="6:7" ht="15.75" customHeight="1">
      <c r="F355" s="1"/>
      <c r="G355" s="1"/>
    </row>
    <row r="356" spans="6:7" ht="15.75" customHeight="1">
      <c r="F356" s="1"/>
      <c r="G356" s="1"/>
    </row>
    <row r="357" spans="6:7" ht="15.75" customHeight="1">
      <c r="F357" s="1"/>
      <c r="G357" s="1"/>
    </row>
    <row r="358" spans="6:7" ht="15.75" customHeight="1">
      <c r="F358" s="1"/>
      <c r="G358" s="1"/>
    </row>
    <row r="359" spans="6:7" ht="15.75" customHeight="1">
      <c r="F359" s="1"/>
      <c r="G359" s="1"/>
    </row>
    <row r="360" spans="6:7" ht="15.75" customHeight="1">
      <c r="F360" s="1"/>
      <c r="G360" s="1"/>
    </row>
    <row r="361" spans="6:7" ht="15.75" customHeight="1">
      <c r="F361" s="1"/>
      <c r="G361" s="1"/>
    </row>
    <row r="362" spans="6:7" ht="15.75" customHeight="1">
      <c r="F362" s="1"/>
      <c r="G362" s="1"/>
    </row>
    <row r="363" spans="6:7" ht="15.75" customHeight="1">
      <c r="F363" s="1"/>
      <c r="G363" s="1"/>
    </row>
    <row r="364" spans="6:7" ht="15.75" customHeight="1">
      <c r="F364" s="1"/>
      <c r="G364" s="1"/>
    </row>
    <row r="365" spans="6:7" ht="15.75" customHeight="1">
      <c r="F365" s="1"/>
      <c r="G365" s="1"/>
    </row>
    <row r="366" spans="6:7" ht="15.75" customHeight="1">
      <c r="F366" s="1"/>
      <c r="G366" s="1"/>
    </row>
    <row r="367" spans="6:7" ht="15.75" customHeight="1">
      <c r="F367" s="1"/>
      <c r="G367" s="1"/>
    </row>
    <row r="368" spans="6:7" ht="15.75" customHeight="1">
      <c r="F368" s="1"/>
      <c r="G368" s="1"/>
    </row>
    <row r="369" spans="6:7" ht="15.75" customHeight="1">
      <c r="F369" s="1"/>
      <c r="G369" s="1"/>
    </row>
    <row r="370" spans="6:7" ht="15.75" customHeight="1">
      <c r="F370" s="1"/>
      <c r="G370" s="1"/>
    </row>
    <row r="371" spans="6:7" ht="15.75" customHeight="1">
      <c r="F371" s="1"/>
      <c r="G371" s="1"/>
    </row>
    <row r="372" spans="6:7" ht="15.75" customHeight="1">
      <c r="F372" s="1"/>
      <c r="G372" s="1"/>
    </row>
    <row r="373" spans="6:7" ht="15.75" customHeight="1">
      <c r="F373" s="1"/>
      <c r="G373" s="1"/>
    </row>
    <row r="374" spans="6:7" ht="15.75" customHeight="1">
      <c r="F374" s="1"/>
      <c r="G374" s="1"/>
    </row>
    <row r="375" spans="6:7" ht="15.75" customHeight="1">
      <c r="F375" s="1"/>
      <c r="G375" s="1"/>
    </row>
    <row r="376" spans="6:7" ht="15.75" customHeight="1">
      <c r="F376" s="1"/>
      <c r="G376" s="1"/>
    </row>
    <row r="377" spans="6:7" ht="15.75" customHeight="1">
      <c r="F377" s="1"/>
      <c r="G377" s="1"/>
    </row>
    <row r="378" spans="6:7" ht="15.75" customHeight="1">
      <c r="F378" s="1"/>
      <c r="G378" s="1"/>
    </row>
    <row r="379" spans="6:7" ht="15.75" customHeight="1">
      <c r="F379" s="1"/>
      <c r="G379" s="1"/>
    </row>
    <row r="380" spans="6:7" ht="15.75" customHeight="1">
      <c r="F380" s="1"/>
      <c r="G380" s="1"/>
    </row>
    <row r="381" spans="6:7" ht="15.75" customHeight="1">
      <c r="F381" s="1"/>
      <c r="G381" s="1"/>
    </row>
    <row r="382" spans="6:7" ht="15.75" customHeight="1">
      <c r="F382" s="1"/>
      <c r="G382" s="1"/>
    </row>
    <row r="383" spans="6:7" ht="15.75" customHeight="1">
      <c r="F383" s="1"/>
      <c r="G383" s="1"/>
    </row>
    <row r="384" spans="6:7" ht="15.75" customHeight="1">
      <c r="F384" s="1"/>
      <c r="G384" s="1"/>
    </row>
    <row r="385" spans="6:7" ht="15.75" customHeight="1">
      <c r="F385" s="1"/>
      <c r="G385" s="1"/>
    </row>
    <row r="386" spans="6:7" ht="15.75" customHeight="1">
      <c r="F386" s="1"/>
      <c r="G386" s="1"/>
    </row>
    <row r="387" spans="6:7" ht="15.75" customHeight="1">
      <c r="F387" s="1"/>
      <c r="G387" s="1"/>
    </row>
    <row r="388" spans="6:7" ht="15.75" customHeight="1">
      <c r="F388" s="1"/>
      <c r="G388" s="1"/>
    </row>
    <row r="389" spans="6:7" ht="15.75" customHeight="1">
      <c r="F389" s="1"/>
      <c r="G389" s="1"/>
    </row>
    <row r="390" spans="6:7" ht="15.75" customHeight="1">
      <c r="F390" s="1"/>
      <c r="G390" s="1"/>
    </row>
    <row r="391" spans="6:7" ht="15.75" customHeight="1">
      <c r="F391" s="1"/>
      <c r="G391" s="1"/>
    </row>
    <row r="392" spans="6:7" ht="15.75" customHeight="1">
      <c r="F392" s="1"/>
      <c r="G392" s="1"/>
    </row>
    <row r="393" spans="6:7" ht="15.75" customHeight="1">
      <c r="F393" s="1"/>
      <c r="G393" s="1"/>
    </row>
    <row r="394" spans="6:7" ht="15.75" customHeight="1">
      <c r="F394" s="1"/>
      <c r="G394" s="1"/>
    </row>
    <row r="395" spans="6:7" ht="15.75" customHeight="1">
      <c r="F395" s="1"/>
      <c r="G395" s="1"/>
    </row>
    <row r="396" spans="6:7" ht="15.75" customHeight="1">
      <c r="F396" s="1"/>
      <c r="G396" s="1"/>
    </row>
    <row r="397" spans="6:7" ht="15.75" customHeight="1">
      <c r="F397" s="1"/>
      <c r="G397" s="1"/>
    </row>
    <row r="398" spans="6:7" ht="15.75" customHeight="1">
      <c r="F398" s="1"/>
      <c r="G398" s="1"/>
    </row>
    <row r="399" spans="6:7" ht="15.75" customHeight="1">
      <c r="F399" s="1"/>
      <c r="G399" s="1"/>
    </row>
    <row r="400" spans="6:7" ht="15.75" customHeight="1">
      <c r="F400" s="1"/>
      <c r="G400" s="1"/>
    </row>
    <row r="401" spans="6:7" ht="15.75" customHeight="1">
      <c r="F401" s="1"/>
      <c r="G401" s="1"/>
    </row>
    <row r="402" spans="6:7" ht="15.75" customHeight="1">
      <c r="F402" s="1"/>
      <c r="G402" s="1"/>
    </row>
    <row r="403" spans="6:7" ht="15.75" customHeight="1">
      <c r="F403" s="1"/>
      <c r="G403" s="1"/>
    </row>
    <row r="404" spans="6:7" ht="15.75" customHeight="1">
      <c r="F404" s="1"/>
      <c r="G404" s="1"/>
    </row>
    <row r="405" spans="6:7" ht="15.75" customHeight="1">
      <c r="F405" s="1"/>
      <c r="G405" s="1"/>
    </row>
    <row r="406" spans="6:7" ht="15.75" customHeight="1">
      <c r="F406" s="1"/>
      <c r="G406" s="1"/>
    </row>
    <row r="407" spans="6:7" ht="15.75" customHeight="1">
      <c r="F407" s="1"/>
      <c r="G407" s="1"/>
    </row>
    <row r="408" spans="6:7" ht="15.75" customHeight="1">
      <c r="F408" s="1"/>
      <c r="G408" s="1"/>
    </row>
    <row r="409" spans="6:7" ht="15.75" customHeight="1">
      <c r="F409" s="1"/>
      <c r="G409" s="1"/>
    </row>
    <row r="410" spans="6:7" ht="15.75" customHeight="1">
      <c r="F410" s="1"/>
      <c r="G410" s="1"/>
    </row>
    <row r="411" spans="6:7" ht="15.75" customHeight="1">
      <c r="F411" s="1"/>
      <c r="G411" s="1"/>
    </row>
    <row r="412" spans="6:7" ht="15.75" customHeight="1">
      <c r="F412" s="1"/>
      <c r="G412" s="1"/>
    </row>
    <row r="413" spans="6:7" ht="15.75" customHeight="1">
      <c r="F413" s="1"/>
      <c r="G413" s="1"/>
    </row>
    <row r="414" spans="6:7" ht="15.75" customHeight="1">
      <c r="F414" s="1"/>
      <c r="G414" s="1"/>
    </row>
    <row r="415" spans="6:7" ht="15.75" customHeight="1">
      <c r="F415" s="1"/>
      <c r="G415" s="1"/>
    </row>
    <row r="416" spans="6:7" ht="15.75" customHeight="1">
      <c r="F416" s="1"/>
      <c r="G416" s="1"/>
    </row>
    <row r="417" spans="6:7" ht="15.75" customHeight="1">
      <c r="F417" s="1"/>
      <c r="G417" s="1"/>
    </row>
    <row r="418" spans="6:7" ht="15.75" customHeight="1">
      <c r="F418" s="1"/>
      <c r="G418" s="1"/>
    </row>
    <row r="419" spans="6:7" ht="15.75" customHeight="1">
      <c r="F419" s="1"/>
      <c r="G419" s="1"/>
    </row>
    <row r="420" spans="6:7" ht="15.75" customHeight="1">
      <c r="F420" s="1"/>
      <c r="G420" s="1"/>
    </row>
    <row r="421" spans="6:7" ht="15.75" customHeight="1">
      <c r="F421" s="1"/>
      <c r="G421" s="1"/>
    </row>
    <row r="422" spans="6:7" ht="15.75" customHeight="1">
      <c r="F422" s="1"/>
      <c r="G422" s="1"/>
    </row>
    <row r="423" spans="6:7" ht="15.75" customHeight="1">
      <c r="F423" s="1"/>
      <c r="G423" s="1"/>
    </row>
    <row r="424" spans="6:7" ht="15.75" customHeight="1">
      <c r="F424" s="1"/>
      <c r="G424" s="1"/>
    </row>
    <row r="425" spans="6:7" ht="15.75" customHeight="1">
      <c r="F425" s="1"/>
      <c r="G425" s="1"/>
    </row>
    <row r="426" spans="6:7" ht="15.75" customHeight="1">
      <c r="F426" s="1"/>
      <c r="G426" s="1"/>
    </row>
    <row r="427" spans="6:7" ht="15.75" customHeight="1">
      <c r="F427" s="1"/>
      <c r="G427" s="1"/>
    </row>
    <row r="428" spans="6:7" ht="15.75" customHeight="1">
      <c r="F428" s="1"/>
      <c r="G428" s="1"/>
    </row>
    <row r="429" spans="6:7" ht="15.75" customHeight="1">
      <c r="F429" s="1"/>
      <c r="G429" s="1"/>
    </row>
    <row r="430" spans="6:7" ht="15.75" customHeight="1">
      <c r="F430" s="1"/>
      <c r="G430" s="1"/>
    </row>
    <row r="431" spans="6:7" ht="15.75" customHeight="1">
      <c r="F431" s="1"/>
      <c r="G431" s="1"/>
    </row>
    <row r="432" spans="6:7" ht="15.75" customHeight="1">
      <c r="F432" s="1"/>
      <c r="G432" s="1"/>
    </row>
    <row r="433" spans="6:7" ht="15.75" customHeight="1">
      <c r="F433" s="1"/>
      <c r="G433" s="1"/>
    </row>
    <row r="434" spans="6:7" ht="15.75" customHeight="1">
      <c r="F434" s="1"/>
      <c r="G434" s="1"/>
    </row>
    <row r="435" spans="6:7" ht="15.75" customHeight="1">
      <c r="F435" s="1"/>
      <c r="G435" s="1"/>
    </row>
    <row r="436" spans="6:7" ht="15.75" customHeight="1">
      <c r="F436" s="1"/>
      <c r="G436" s="1"/>
    </row>
    <row r="437" spans="6:7" ht="15.75" customHeight="1">
      <c r="F437" s="1"/>
      <c r="G437" s="1"/>
    </row>
    <row r="438" spans="6:7" ht="15.75" customHeight="1">
      <c r="F438" s="1"/>
      <c r="G438" s="1"/>
    </row>
    <row r="439" spans="6:7" ht="15.75" customHeight="1">
      <c r="F439" s="1"/>
      <c r="G439" s="1"/>
    </row>
    <row r="440" spans="6:7" ht="15.75" customHeight="1">
      <c r="F440" s="1"/>
      <c r="G440" s="1"/>
    </row>
    <row r="441" spans="6:7" ht="15.75" customHeight="1">
      <c r="F441" s="1"/>
      <c r="G441" s="1"/>
    </row>
    <row r="442" spans="6:7" ht="15.75" customHeight="1">
      <c r="F442" s="1"/>
      <c r="G442" s="1"/>
    </row>
    <row r="443" spans="6:7" ht="15.75" customHeight="1">
      <c r="F443" s="1"/>
      <c r="G443" s="1"/>
    </row>
    <row r="444" spans="6:7" ht="15.75" customHeight="1">
      <c r="F444" s="1"/>
      <c r="G444" s="1"/>
    </row>
    <row r="445" spans="6:7" ht="15.75" customHeight="1">
      <c r="F445" s="1"/>
      <c r="G445" s="1"/>
    </row>
    <row r="446" spans="6:7" ht="15.75" customHeight="1">
      <c r="F446" s="1"/>
      <c r="G446" s="1"/>
    </row>
    <row r="447" spans="6:7" ht="15.75" customHeight="1">
      <c r="F447" s="1"/>
      <c r="G447" s="1"/>
    </row>
    <row r="448" spans="6:7" ht="15.75" customHeight="1">
      <c r="F448" s="1"/>
      <c r="G448" s="1"/>
    </row>
    <row r="449" spans="6:7" ht="15.75" customHeight="1">
      <c r="F449" s="1"/>
      <c r="G449" s="1"/>
    </row>
    <row r="450" spans="6:7" ht="15.75" customHeight="1">
      <c r="F450" s="1"/>
      <c r="G450" s="1"/>
    </row>
    <row r="451" spans="6:7" ht="15.75" customHeight="1">
      <c r="F451" s="1"/>
      <c r="G451" s="1"/>
    </row>
    <row r="452" spans="6:7" ht="15.75" customHeight="1">
      <c r="F452" s="1"/>
      <c r="G452" s="1"/>
    </row>
    <row r="453" spans="6:7" ht="15.75" customHeight="1">
      <c r="F453" s="1"/>
      <c r="G453" s="1"/>
    </row>
    <row r="454" spans="6:7" ht="15.75" customHeight="1">
      <c r="F454" s="1"/>
      <c r="G454" s="1"/>
    </row>
    <row r="455" spans="6:7" ht="15.75" customHeight="1">
      <c r="F455" s="1"/>
      <c r="G455" s="1"/>
    </row>
    <row r="456" spans="6:7" ht="15.75" customHeight="1">
      <c r="F456" s="1"/>
      <c r="G456" s="1"/>
    </row>
    <row r="457" spans="6:7" ht="15.75" customHeight="1">
      <c r="F457" s="1"/>
      <c r="G457" s="1"/>
    </row>
    <row r="458" spans="6:7" ht="15.75" customHeight="1">
      <c r="F458" s="1"/>
      <c r="G458" s="1"/>
    </row>
    <row r="459" spans="6:7" ht="15.75" customHeight="1">
      <c r="F459" s="1"/>
      <c r="G459" s="1"/>
    </row>
    <row r="460" spans="6:7" ht="15.75" customHeight="1">
      <c r="F460" s="1"/>
      <c r="G460" s="1"/>
    </row>
    <row r="461" spans="6:7" ht="15.75" customHeight="1">
      <c r="F461" s="1"/>
      <c r="G461" s="1"/>
    </row>
    <row r="462" spans="6:7" ht="15.75" customHeight="1">
      <c r="F462" s="1"/>
      <c r="G462" s="1"/>
    </row>
    <row r="463" spans="6:7" ht="15.75" customHeight="1">
      <c r="F463" s="1"/>
      <c r="G463" s="1"/>
    </row>
    <row r="464" spans="6:7" ht="15.75" customHeight="1">
      <c r="F464" s="1"/>
      <c r="G464" s="1"/>
    </row>
    <row r="465" spans="6:7" ht="15.75" customHeight="1">
      <c r="F465" s="1"/>
      <c r="G465" s="1"/>
    </row>
    <row r="466" spans="6:7" ht="15.75" customHeight="1">
      <c r="F466" s="1"/>
      <c r="G466" s="1"/>
    </row>
    <row r="467" spans="6:7" ht="15.75" customHeight="1">
      <c r="F467" s="1"/>
      <c r="G467" s="1"/>
    </row>
    <row r="468" spans="6:7" ht="15.75" customHeight="1">
      <c r="F468" s="1"/>
      <c r="G468" s="1"/>
    </row>
    <row r="469" spans="6:7" ht="15.75" customHeight="1">
      <c r="F469" s="1"/>
      <c r="G469" s="1"/>
    </row>
    <row r="470" spans="6:7" ht="15.75" customHeight="1">
      <c r="F470" s="1"/>
      <c r="G470" s="1"/>
    </row>
    <row r="471" spans="6:7" ht="15.75" customHeight="1">
      <c r="F471" s="1"/>
      <c r="G471" s="1"/>
    </row>
    <row r="472" spans="6:7" ht="15.75" customHeight="1">
      <c r="F472" s="1"/>
      <c r="G472" s="1"/>
    </row>
    <row r="473" spans="6:7" ht="15.75" customHeight="1">
      <c r="F473" s="1"/>
      <c r="G473" s="1"/>
    </row>
    <row r="474" spans="6:7" ht="15.75" customHeight="1">
      <c r="F474" s="1"/>
      <c r="G474" s="1"/>
    </row>
    <row r="475" spans="6:7" ht="15.75" customHeight="1">
      <c r="F475" s="1"/>
      <c r="G475" s="1"/>
    </row>
    <row r="476" spans="6:7" ht="15.75" customHeight="1">
      <c r="F476" s="1"/>
      <c r="G476" s="1"/>
    </row>
    <row r="477" spans="6:7" ht="15.75" customHeight="1">
      <c r="F477" s="1"/>
      <c r="G477" s="1"/>
    </row>
    <row r="478" spans="6:7" ht="15.75" customHeight="1">
      <c r="F478" s="1"/>
      <c r="G478" s="1"/>
    </row>
    <row r="479" spans="6:7" ht="15.75" customHeight="1">
      <c r="F479" s="1"/>
      <c r="G479" s="1"/>
    </row>
    <row r="480" spans="6:7" ht="15.75" customHeight="1">
      <c r="F480" s="1"/>
      <c r="G480" s="1"/>
    </row>
    <row r="481" spans="6:7" ht="15.75" customHeight="1">
      <c r="F481" s="1"/>
      <c r="G481" s="1"/>
    </row>
    <row r="482" spans="6:7" ht="15.75" customHeight="1">
      <c r="F482" s="1"/>
      <c r="G482" s="1"/>
    </row>
    <row r="483" spans="6:7" ht="15.75" customHeight="1">
      <c r="F483" s="1"/>
      <c r="G483" s="1"/>
    </row>
    <row r="484" spans="6:7" ht="15.75" customHeight="1">
      <c r="F484" s="1"/>
      <c r="G484" s="1"/>
    </row>
    <row r="485" spans="6:7" ht="15.75" customHeight="1">
      <c r="F485" s="1"/>
      <c r="G485" s="1"/>
    </row>
    <row r="486" spans="6:7" ht="15.75" customHeight="1">
      <c r="F486" s="1"/>
      <c r="G486" s="1"/>
    </row>
    <row r="487" spans="6:7" ht="15.75" customHeight="1">
      <c r="F487" s="1"/>
      <c r="G487" s="1"/>
    </row>
    <row r="488" spans="6:7" ht="15.75" customHeight="1">
      <c r="F488" s="1"/>
      <c r="G488" s="1"/>
    </row>
    <row r="489" spans="6:7" ht="15.75" customHeight="1">
      <c r="F489" s="1"/>
      <c r="G489" s="1"/>
    </row>
    <row r="490" spans="6:7" ht="15.75" customHeight="1">
      <c r="F490" s="1"/>
      <c r="G490" s="1"/>
    </row>
    <row r="491" spans="6:7" ht="15.75" customHeight="1">
      <c r="F491" s="1"/>
      <c r="G491" s="1"/>
    </row>
    <row r="492" spans="6:7" ht="15.75" customHeight="1">
      <c r="F492" s="1"/>
      <c r="G492" s="1"/>
    </row>
    <row r="493" spans="6:7" ht="15.75" customHeight="1">
      <c r="F493" s="1"/>
      <c r="G493" s="1"/>
    </row>
    <row r="494" spans="6:7" ht="15.75" customHeight="1">
      <c r="F494" s="1"/>
      <c r="G494" s="1"/>
    </row>
    <row r="495" spans="6:7" ht="15.75" customHeight="1">
      <c r="F495" s="1"/>
      <c r="G495" s="1"/>
    </row>
    <row r="496" spans="6:7" ht="15.75" customHeight="1">
      <c r="F496" s="1"/>
      <c r="G496" s="1"/>
    </row>
    <row r="497" spans="6:7" ht="15.75" customHeight="1">
      <c r="F497" s="1"/>
      <c r="G497" s="1"/>
    </row>
    <row r="498" spans="6:7" ht="15.75" customHeight="1">
      <c r="F498" s="1"/>
      <c r="G498" s="1"/>
    </row>
    <row r="499" spans="6:7" ht="15.75" customHeight="1">
      <c r="F499" s="1"/>
      <c r="G499" s="1"/>
    </row>
    <row r="500" spans="6:7" ht="15.75" customHeight="1">
      <c r="F500" s="1"/>
      <c r="G500" s="1"/>
    </row>
    <row r="501" spans="6:7" ht="15.75" customHeight="1">
      <c r="F501" s="1"/>
      <c r="G501" s="1"/>
    </row>
    <row r="502" spans="6:7" ht="15.75" customHeight="1">
      <c r="F502" s="1"/>
      <c r="G502" s="1"/>
    </row>
    <row r="503" spans="6:7" ht="15.75" customHeight="1">
      <c r="F503" s="1"/>
      <c r="G503" s="1"/>
    </row>
    <row r="504" spans="6:7" ht="15.75" customHeight="1">
      <c r="F504" s="1"/>
      <c r="G504" s="1"/>
    </row>
    <row r="505" spans="6:7" ht="15.75" customHeight="1">
      <c r="F505" s="1"/>
      <c r="G505" s="1"/>
    </row>
    <row r="506" spans="6:7" ht="15.75" customHeight="1">
      <c r="F506" s="1"/>
      <c r="G506" s="1"/>
    </row>
    <row r="507" spans="6:7" ht="15.75" customHeight="1">
      <c r="F507" s="1"/>
      <c r="G507" s="1"/>
    </row>
    <row r="508" spans="6:7" ht="15.75" customHeight="1">
      <c r="F508" s="1"/>
      <c r="G508" s="1"/>
    </row>
    <row r="509" spans="6:7" ht="15.75" customHeight="1">
      <c r="F509" s="1"/>
      <c r="G509" s="1"/>
    </row>
    <row r="510" spans="6:7" ht="15.75" customHeight="1">
      <c r="F510" s="1"/>
      <c r="G510" s="1"/>
    </row>
    <row r="511" spans="6:7" ht="15.75" customHeight="1">
      <c r="F511" s="1"/>
      <c r="G511" s="1"/>
    </row>
    <row r="512" spans="6:7" ht="15.75" customHeight="1">
      <c r="F512" s="1"/>
      <c r="G512" s="1"/>
    </row>
    <row r="513" spans="6:7" ht="15.75" customHeight="1">
      <c r="F513" s="1"/>
      <c r="G513" s="1"/>
    </row>
    <row r="514" spans="6:7" ht="15.75" customHeight="1">
      <c r="F514" s="1"/>
      <c r="G514" s="1"/>
    </row>
    <row r="515" spans="6:7" ht="15.75" customHeight="1">
      <c r="F515" s="1"/>
      <c r="G515" s="1"/>
    </row>
    <row r="516" spans="6:7" ht="15.75" customHeight="1">
      <c r="F516" s="1"/>
      <c r="G516" s="1"/>
    </row>
    <row r="517" spans="6:7" ht="15.75" customHeight="1">
      <c r="F517" s="1"/>
      <c r="G517" s="1"/>
    </row>
    <row r="518" spans="6:7" ht="15.75" customHeight="1">
      <c r="F518" s="1"/>
      <c r="G518" s="1"/>
    </row>
    <row r="519" spans="6:7" ht="15.75" customHeight="1">
      <c r="F519" s="1"/>
      <c r="G519" s="1"/>
    </row>
    <row r="520" spans="6:7" ht="15.75" customHeight="1">
      <c r="F520" s="1"/>
      <c r="G520" s="1"/>
    </row>
    <row r="521" spans="6:7" ht="15.75" customHeight="1">
      <c r="F521" s="1"/>
      <c r="G521" s="1"/>
    </row>
    <row r="522" spans="6:7" ht="15.75" customHeight="1">
      <c r="F522" s="1"/>
      <c r="G522" s="1"/>
    </row>
    <row r="523" spans="6:7" ht="15.75" customHeight="1">
      <c r="F523" s="1"/>
      <c r="G523" s="1"/>
    </row>
    <row r="524" spans="6:7" ht="15.75" customHeight="1">
      <c r="F524" s="1"/>
      <c r="G524" s="1"/>
    </row>
    <row r="525" spans="6:7" ht="15.75" customHeight="1">
      <c r="F525" s="1"/>
      <c r="G525" s="1"/>
    </row>
    <row r="526" spans="6:7" ht="15.75" customHeight="1">
      <c r="F526" s="1"/>
      <c r="G526" s="1"/>
    </row>
    <row r="527" spans="6:7" ht="15.75" customHeight="1">
      <c r="F527" s="1"/>
      <c r="G527" s="1"/>
    </row>
    <row r="528" spans="6:7" ht="15.75" customHeight="1">
      <c r="F528" s="1"/>
      <c r="G528" s="1"/>
    </row>
    <row r="529" spans="6:7" ht="15.75" customHeight="1">
      <c r="F529" s="1"/>
      <c r="G529" s="1"/>
    </row>
    <row r="530" spans="6:7" ht="15.75" customHeight="1">
      <c r="F530" s="1"/>
      <c r="G530" s="1"/>
    </row>
    <row r="531" spans="6:7" ht="15.75" customHeight="1">
      <c r="F531" s="1"/>
      <c r="G531" s="1"/>
    </row>
    <row r="532" spans="6:7" ht="15.75" customHeight="1">
      <c r="F532" s="1"/>
      <c r="G532" s="1"/>
    </row>
    <row r="533" spans="6:7" ht="15.75" customHeight="1">
      <c r="F533" s="1"/>
      <c r="G533" s="1"/>
    </row>
    <row r="534" spans="6:7" ht="15.75" customHeight="1">
      <c r="F534" s="1"/>
      <c r="G534" s="1"/>
    </row>
    <row r="535" spans="6:7" ht="15.75" customHeight="1">
      <c r="F535" s="1"/>
      <c r="G535" s="1"/>
    </row>
    <row r="536" spans="6:7" ht="15.75" customHeight="1">
      <c r="F536" s="1"/>
      <c r="G536" s="1"/>
    </row>
    <row r="537" spans="6:7" ht="15.75" customHeight="1">
      <c r="F537" s="1"/>
      <c r="G537" s="1"/>
    </row>
    <row r="538" spans="6:7" ht="15.75" customHeight="1">
      <c r="F538" s="1"/>
      <c r="G538" s="1"/>
    </row>
    <row r="539" spans="6:7" ht="15.75" customHeight="1">
      <c r="F539" s="1"/>
      <c r="G539" s="1"/>
    </row>
    <row r="540" spans="6:7" ht="15.75" customHeight="1">
      <c r="F540" s="1"/>
      <c r="G540" s="1"/>
    </row>
    <row r="541" spans="6:7" ht="15.75" customHeight="1">
      <c r="F541" s="1"/>
      <c r="G541" s="1"/>
    </row>
    <row r="542" spans="6:7" ht="15.75" customHeight="1">
      <c r="F542" s="1"/>
      <c r="G542" s="1"/>
    </row>
    <row r="543" spans="6:7" ht="15.75" customHeight="1">
      <c r="F543" s="1"/>
      <c r="G543" s="1"/>
    </row>
    <row r="544" spans="6:7" ht="15.75" customHeight="1">
      <c r="F544" s="1"/>
      <c r="G544" s="1"/>
    </row>
    <row r="545" spans="6:7" ht="15.75" customHeight="1">
      <c r="F545" s="1"/>
      <c r="G545" s="1"/>
    </row>
    <row r="546" spans="6:7" ht="15.75" customHeight="1">
      <c r="F546" s="1"/>
      <c r="G546" s="1"/>
    </row>
    <row r="547" spans="6:7" ht="15.75" customHeight="1">
      <c r="F547" s="1"/>
      <c r="G547" s="1"/>
    </row>
    <row r="548" spans="6:7" ht="15.75" customHeight="1">
      <c r="F548" s="1"/>
      <c r="G548" s="1"/>
    </row>
    <row r="549" spans="6:7" ht="15.75" customHeight="1">
      <c r="F549" s="1"/>
      <c r="G549" s="1"/>
    </row>
    <row r="550" spans="6:7" ht="15.75" customHeight="1">
      <c r="F550" s="1"/>
      <c r="G550" s="1"/>
    </row>
    <row r="551" spans="6:7" ht="15.75" customHeight="1">
      <c r="F551" s="1"/>
      <c r="G551" s="1"/>
    </row>
    <row r="552" spans="6:7" ht="15.75" customHeight="1">
      <c r="F552" s="1"/>
      <c r="G552" s="1"/>
    </row>
    <row r="553" spans="6:7" ht="15.75" customHeight="1">
      <c r="F553" s="1"/>
      <c r="G553" s="1"/>
    </row>
    <row r="554" spans="6:7" ht="15.75" customHeight="1">
      <c r="F554" s="1"/>
      <c r="G554" s="1"/>
    </row>
    <row r="555" spans="6:7" ht="15.75" customHeight="1">
      <c r="F555" s="1"/>
      <c r="G555" s="1"/>
    </row>
    <row r="556" spans="6:7" ht="15.75" customHeight="1">
      <c r="F556" s="1"/>
      <c r="G556" s="1"/>
    </row>
    <row r="557" spans="6:7" ht="15.75" customHeight="1">
      <c r="F557" s="1"/>
      <c r="G557" s="1"/>
    </row>
    <row r="558" spans="6:7" ht="15.75" customHeight="1">
      <c r="F558" s="1"/>
      <c r="G558" s="1"/>
    </row>
    <row r="559" spans="6:7" ht="15.75" customHeight="1">
      <c r="F559" s="1"/>
      <c r="G559" s="1"/>
    </row>
    <row r="560" spans="6:7" ht="15.75" customHeight="1">
      <c r="F560" s="1"/>
      <c r="G560" s="1"/>
    </row>
    <row r="561" spans="6:7" ht="15.75" customHeight="1">
      <c r="F561" s="1"/>
      <c r="G561" s="1"/>
    </row>
    <row r="562" spans="6:7" ht="15.75" customHeight="1">
      <c r="F562" s="1"/>
      <c r="G562" s="1"/>
    </row>
    <row r="563" spans="6:7" ht="15.75" customHeight="1">
      <c r="F563" s="1"/>
      <c r="G563" s="1"/>
    </row>
    <row r="564" spans="6:7" ht="15.75" customHeight="1">
      <c r="F564" s="1"/>
      <c r="G564" s="1"/>
    </row>
    <row r="565" spans="6:7" ht="15.75" customHeight="1">
      <c r="F565" s="1"/>
      <c r="G565" s="1"/>
    </row>
    <row r="566" spans="6:7" ht="15.75" customHeight="1">
      <c r="F566" s="1"/>
      <c r="G566" s="1"/>
    </row>
    <row r="567" spans="6:7" ht="15.75" customHeight="1">
      <c r="F567" s="1"/>
      <c r="G567" s="1"/>
    </row>
    <row r="568" spans="6:7" ht="15.75" customHeight="1">
      <c r="F568" s="1"/>
      <c r="G568" s="1"/>
    </row>
    <row r="569" spans="6:7" ht="15.75" customHeight="1">
      <c r="F569" s="1"/>
      <c r="G569" s="1"/>
    </row>
    <row r="570" spans="6:7" ht="15.75" customHeight="1">
      <c r="F570" s="1"/>
      <c r="G570" s="1"/>
    </row>
    <row r="571" spans="6:7" ht="15.75" customHeight="1">
      <c r="F571" s="1"/>
      <c r="G571" s="1"/>
    </row>
    <row r="572" spans="6:7" ht="15.75" customHeight="1">
      <c r="F572" s="1"/>
      <c r="G572" s="1"/>
    </row>
    <row r="573" spans="6:7" ht="15.75" customHeight="1">
      <c r="F573" s="1"/>
      <c r="G573" s="1"/>
    </row>
    <row r="574" spans="6:7" ht="15.75" customHeight="1">
      <c r="F574" s="1"/>
      <c r="G574" s="1"/>
    </row>
    <row r="575" spans="6:7" ht="15.75" customHeight="1">
      <c r="F575" s="1"/>
      <c r="G575" s="1"/>
    </row>
    <row r="576" spans="6:7" ht="15.75" customHeight="1">
      <c r="F576" s="1"/>
      <c r="G576" s="1"/>
    </row>
    <row r="577" spans="6:7" ht="15.75" customHeight="1">
      <c r="F577" s="1"/>
      <c r="G577" s="1"/>
    </row>
    <row r="578" spans="6:7" ht="15.75" customHeight="1">
      <c r="F578" s="1"/>
      <c r="G578" s="1"/>
    </row>
    <row r="579" spans="6:7" ht="15.75" customHeight="1">
      <c r="F579" s="1"/>
      <c r="G579" s="1"/>
    </row>
    <row r="580" spans="6:7" ht="15.75" customHeight="1">
      <c r="F580" s="1"/>
      <c r="G580" s="1"/>
    </row>
    <row r="581" spans="6:7" ht="15.75" customHeight="1">
      <c r="F581" s="1"/>
      <c r="G581" s="1"/>
    </row>
    <row r="582" spans="6:7" ht="15.75" customHeight="1">
      <c r="F582" s="1"/>
      <c r="G582" s="1"/>
    </row>
    <row r="583" spans="6:7" ht="15.75" customHeight="1">
      <c r="F583" s="1"/>
      <c r="G583" s="1"/>
    </row>
    <row r="584" spans="6:7" ht="15.75" customHeight="1">
      <c r="F584" s="1"/>
      <c r="G584" s="1"/>
    </row>
    <row r="585" spans="6:7" ht="15.75" customHeight="1">
      <c r="F585" s="1"/>
      <c r="G585" s="1"/>
    </row>
    <row r="586" spans="6:7" ht="15.75" customHeight="1">
      <c r="F586" s="1"/>
      <c r="G586" s="1"/>
    </row>
    <row r="587" spans="6:7" ht="15.75" customHeight="1">
      <c r="F587" s="1"/>
      <c r="G587" s="1"/>
    </row>
    <row r="588" spans="6:7" ht="15.75" customHeight="1">
      <c r="F588" s="1"/>
      <c r="G588" s="1"/>
    </row>
    <row r="589" spans="6:7" ht="15.75" customHeight="1">
      <c r="F589" s="1"/>
      <c r="G589" s="1"/>
    </row>
    <row r="590" spans="6:7" ht="15.75" customHeight="1">
      <c r="F590" s="1"/>
      <c r="G590" s="1"/>
    </row>
    <row r="591" spans="6:7" ht="15.75" customHeight="1">
      <c r="F591" s="1"/>
      <c r="G591" s="1"/>
    </row>
    <row r="592" spans="6:7" ht="15.75" customHeight="1">
      <c r="F592" s="1"/>
      <c r="G592" s="1"/>
    </row>
    <row r="593" spans="6:7" ht="15.75" customHeight="1">
      <c r="F593" s="1"/>
      <c r="G593" s="1"/>
    </row>
    <row r="594" spans="6:7" ht="15.75" customHeight="1">
      <c r="F594" s="1"/>
      <c r="G594" s="1"/>
    </row>
    <row r="595" spans="6:7" ht="15.75" customHeight="1">
      <c r="F595" s="1"/>
      <c r="G595" s="1"/>
    </row>
    <row r="596" spans="6:7" ht="15.75" customHeight="1">
      <c r="F596" s="1"/>
      <c r="G596" s="1"/>
    </row>
    <row r="597" spans="6:7" ht="15.75" customHeight="1">
      <c r="F597" s="1"/>
      <c r="G597" s="1"/>
    </row>
    <row r="598" spans="6:7" ht="15.75" customHeight="1">
      <c r="F598" s="1"/>
      <c r="G598" s="1"/>
    </row>
    <row r="599" spans="6:7" ht="15.75" customHeight="1">
      <c r="F599" s="1"/>
      <c r="G599" s="1"/>
    </row>
    <row r="600" spans="6:7" ht="15.75" customHeight="1">
      <c r="F600" s="1"/>
      <c r="G600" s="1"/>
    </row>
    <row r="601" spans="6:7" ht="15.75" customHeight="1">
      <c r="F601" s="1"/>
      <c r="G601" s="1"/>
    </row>
    <row r="602" spans="6:7" ht="15.75" customHeight="1">
      <c r="F602" s="1"/>
      <c r="G602" s="1"/>
    </row>
    <row r="603" spans="6:7" ht="15.75" customHeight="1">
      <c r="F603" s="1"/>
      <c r="G603" s="1"/>
    </row>
    <row r="604" spans="6:7" ht="15.75" customHeight="1">
      <c r="F604" s="1"/>
      <c r="G604" s="1"/>
    </row>
    <row r="605" spans="6:7" ht="15.75" customHeight="1">
      <c r="F605" s="1"/>
      <c r="G605" s="1"/>
    </row>
    <row r="606" spans="6:7" ht="15.75" customHeight="1">
      <c r="F606" s="1"/>
      <c r="G606" s="1"/>
    </row>
    <row r="607" spans="6:7" ht="15.75" customHeight="1">
      <c r="F607" s="1"/>
      <c r="G607" s="1"/>
    </row>
    <row r="608" spans="6:7" ht="15.75" customHeight="1">
      <c r="F608" s="1"/>
      <c r="G608" s="1"/>
    </row>
    <row r="609" spans="6:7" ht="15.75" customHeight="1">
      <c r="F609" s="1"/>
      <c r="G609" s="1"/>
    </row>
    <row r="610" spans="6:7" ht="15.75" customHeight="1">
      <c r="F610" s="1"/>
      <c r="G610" s="1"/>
    </row>
    <row r="611" spans="6:7" ht="15.75" customHeight="1">
      <c r="F611" s="1"/>
      <c r="G611" s="1"/>
    </row>
    <row r="612" spans="6:7" ht="15.75" customHeight="1">
      <c r="F612" s="1"/>
      <c r="G612" s="1"/>
    </row>
    <row r="613" spans="6:7" ht="15.75" customHeight="1">
      <c r="F613" s="1"/>
      <c r="G613" s="1"/>
    </row>
    <row r="614" spans="6:7" ht="15.75" customHeight="1">
      <c r="F614" s="1"/>
      <c r="G614" s="1"/>
    </row>
    <row r="615" spans="6:7" ht="15.75" customHeight="1">
      <c r="F615" s="1"/>
      <c r="G615" s="1"/>
    </row>
    <row r="616" spans="6:7" ht="15.75" customHeight="1">
      <c r="F616" s="1"/>
      <c r="G616" s="1"/>
    </row>
    <row r="617" spans="6:7" ht="15.75" customHeight="1">
      <c r="F617" s="1"/>
      <c r="G617" s="1"/>
    </row>
    <row r="618" spans="6:7" ht="15.75" customHeight="1">
      <c r="F618" s="1"/>
      <c r="G618" s="1"/>
    </row>
    <row r="619" spans="6:7" ht="15.75" customHeight="1">
      <c r="F619" s="1"/>
      <c r="G619" s="1"/>
    </row>
    <row r="620" spans="6:7" ht="15.75" customHeight="1">
      <c r="F620" s="1"/>
      <c r="G620" s="1"/>
    </row>
    <row r="621" spans="6:7" ht="15.75" customHeight="1">
      <c r="F621" s="1"/>
      <c r="G621" s="1"/>
    </row>
    <row r="622" spans="6:7" ht="15.75" customHeight="1">
      <c r="F622" s="1"/>
      <c r="G622" s="1"/>
    </row>
    <row r="623" spans="6:7" ht="15.75" customHeight="1">
      <c r="F623" s="1"/>
      <c r="G623" s="1"/>
    </row>
    <row r="624" spans="6:7" ht="15.75" customHeight="1">
      <c r="F624" s="1"/>
      <c r="G624" s="1"/>
    </row>
    <row r="625" spans="6:7" ht="15.75" customHeight="1">
      <c r="F625" s="1"/>
      <c r="G625" s="1"/>
    </row>
    <row r="626" spans="6:7" ht="15.75" customHeight="1">
      <c r="F626" s="1"/>
      <c r="G626" s="1"/>
    </row>
    <row r="627" spans="6:7" ht="15.75" customHeight="1">
      <c r="F627" s="1"/>
      <c r="G627" s="1"/>
    </row>
    <row r="628" spans="6:7" ht="15.75" customHeight="1">
      <c r="F628" s="1"/>
      <c r="G628" s="1"/>
    </row>
    <row r="629" spans="6:7" ht="15.75" customHeight="1">
      <c r="F629" s="1"/>
      <c r="G629" s="1"/>
    </row>
    <row r="630" spans="6:7" ht="15.75" customHeight="1">
      <c r="F630" s="1"/>
      <c r="G630" s="1"/>
    </row>
    <row r="631" spans="6:7" ht="15.75" customHeight="1">
      <c r="F631" s="1"/>
      <c r="G631" s="1"/>
    </row>
    <row r="632" spans="6:7" ht="15.75" customHeight="1">
      <c r="F632" s="1"/>
      <c r="G632" s="1"/>
    </row>
    <row r="633" spans="6:7" ht="15.75" customHeight="1">
      <c r="F633" s="1"/>
      <c r="G633" s="1"/>
    </row>
    <row r="634" spans="6:7" ht="15.75" customHeight="1">
      <c r="F634" s="1"/>
      <c r="G634" s="1"/>
    </row>
    <row r="635" spans="6:7" ht="15.75" customHeight="1">
      <c r="F635" s="1"/>
      <c r="G635" s="1"/>
    </row>
    <row r="636" spans="6:7" ht="15.75" customHeight="1">
      <c r="F636" s="1"/>
      <c r="G636" s="1"/>
    </row>
    <row r="637" spans="6:7" ht="15.75" customHeight="1">
      <c r="F637" s="1"/>
      <c r="G637" s="1"/>
    </row>
    <row r="638" spans="6:7" ht="15.75" customHeight="1">
      <c r="F638" s="1"/>
      <c r="G638" s="1"/>
    </row>
    <row r="639" spans="6:7" ht="15.75" customHeight="1">
      <c r="F639" s="1"/>
      <c r="G639" s="1"/>
    </row>
    <row r="640" spans="6:7" ht="15.75" customHeight="1">
      <c r="F640" s="1"/>
      <c r="G640" s="1"/>
    </row>
    <row r="641" spans="6:7" ht="15.75" customHeight="1">
      <c r="F641" s="1"/>
      <c r="G641" s="1"/>
    </row>
    <row r="642" spans="6:7" ht="15.75" customHeight="1">
      <c r="F642" s="1"/>
      <c r="G642" s="1"/>
    </row>
    <row r="643" spans="6:7" ht="15.75" customHeight="1">
      <c r="F643" s="1"/>
      <c r="G643" s="1"/>
    </row>
    <row r="644" spans="6:7" ht="15.75" customHeight="1">
      <c r="F644" s="1"/>
      <c r="G644" s="1"/>
    </row>
    <row r="645" spans="6:7" ht="15.75" customHeight="1">
      <c r="F645" s="1"/>
      <c r="G645" s="1"/>
    </row>
    <row r="646" spans="6:7" ht="15.75" customHeight="1">
      <c r="F646" s="1"/>
      <c r="G646" s="1"/>
    </row>
    <row r="647" spans="6:7" ht="15.75" customHeight="1">
      <c r="F647" s="1"/>
      <c r="G647" s="1"/>
    </row>
    <row r="648" spans="6:7" ht="15.75" customHeight="1">
      <c r="F648" s="1"/>
      <c r="G648" s="1"/>
    </row>
    <row r="649" spans="6:7" ht="15.75" customHeight="1">
      <c r="F649" s="1"/>
      <c r="G649" s="1"/>
    </row>
    <row r="650" spans="6:7" ht="15.75" customHeight="1">
      <c r="F650" s="1"/>
      <c r="G650" s="1"/>
    </row>
    <row r="651" spans="6:7" ht="15.75" customHeight="1">
      <c r="F651" s="1"/>
      <c r="G651" s="1"/>
    </row>
    <row r="652" spans="6:7" ht="15.75" customHeight="1">
      <c r="F652" s="1"/>
      <c r="G652" s="1"/>
    </row>
    <row r="653" spans="6:7" ht="15.75" customHeight="1">
      <c r="F653" s="1"/>
      <c r="G653" s="1"/>
    </row>
    <row r="654" spans="6:7" ht="15.75" customHeight="1">
      <c r="F654" s="1"/>
      <c r="G654" s="1"/>
    </row>
    <row r="655" spans="6:7" ht="15.75" customHeight="1">
      <c r="F655" s="1"/>
      <c r="G655" s="1"/>
    </row>
    <row r="656" spans="6:7" ht="15.75" customHeight="1">
      <c r="F656" s="1"/>
      <c r="G656" s="1"/>
    </row>
    <row r="657" spans="6:7" ht="15.75" customHeight="1">
      <c r="F657" s="1"/>
      <c r="G657" s="1"/>
    </row>
    <row r="658" spans="6:7" ht="15.75" customHeight="1">
      <c r="F658" s="1"/>
      <c r="G658" s="1"/>
    </row>
    <row r="659" spans="6:7" ht="15.75" customHeight="1">
      <c r="F659" s="1"/>
      <c r="G659" s="1"/>
    </row>
    <row r="660" spans="6:7" ht="15.75" customHeight="1">
      <c r="F660" s="1"/>
      <c r="G660" s="1"/>
    </row>
    <row r="661" spans="6:7" ht="15.75" customHeight="1">
      <c r="F661" s="1"/>
      <c r="G661" s="1"/>
    </row>
    <row r="662" spans="6:7" ht="15.75" customHeight="1">
      <c r="F662" s="1"/>
      <c r="G662" s="1"/>
    </row>
    <row r="663" spans="6:7" ht="15.75" customHeight="1">
      <c r="F663" s="1"/>
      <c r="G663" s="1"/>
    </row>
    <row r="664" spans="6:7" ht="15.75" customHeight="1">
      <c r="F664" s="1"/>
      <c r="G664" s="1"/>
    </row>
    <row r="665" spans="6:7" ht="15.75" customHeight="1">
      <c r="F665" s="1"/>
      <c r="G665" s="1"/>
    </row>
    <row r="666" spans="6:7" ht="15.75" customHeight="1">
      <c r="F666" s="1"/>
      <c r="G666" s="1"/>
    </row>
    <row r="667" spans="6:7" ht="15.75" customHeight="1">
      <c r="F667" s="1"/>
      <c r="G667" s="1"/>
    </row>
    <row r="668" spans="6:7" ht="15.75" customHeight="1">
      <c r="F668" s="1"/>
      <c r="G668" s="1"/>
    </row>
    <row r="669" spans="6:7" ht="15.75" customHeight="1">
      <c r="F669" s="1"/>
      <c r="G669" s="1"/>
    </row>
    <row r="670" spans="6:7" ht="15.75" customHeight="1">
      <c r="F670" s="1"/>
      <c r="G670" s="1"/>
    </row>
    <row r="671" spans="6:7" ht="15.75" customHeight="1">
      <c r="F671" s="1"/>
      <c r="G671" s="1"/>
    </row>
    <row r="672" spans="6:7" ht="15.75" customHeight="1">
      <c r="F672" s="1"/>
      <c r="G672" s="1"/>
    </row>
    <row r="673" spans="6:7" ht="15.75" customHeight="1">
      <c r="F673" s="1"/>
      <c r="G673" s="1"/>
    </row>
    <row r="674" spans="6:7" ht="15.75" customHeight="1">
      <c r="F674" s="1"/>
      <c r="G674" s="1"/>
    </row>
    <row r="675" spans="6:7" ht="15.75" customHeight="1">
      <c r="F675" s="1"/>
      <c r="G675" s="1"/>
    </row>
    <row r="676" spans="6:7" ht="15.75" customHeight="1">
      <c r="F676" s="1"/>
      <c r="G676" s="1"/>
    </row>
    <row r="677" spans="6:7" ht="15.75" customHeight="1">
      <c r="F677" s="1"/>
      <c r="G677" s="1"/>
    </row>
    <row r="678" spans="6:7" ht="15.75" customHeight="1">
      <c r="F678" s="1"/>
      <c r="G678" s="1"/>
    </row>
    <row r="679" spans="6:7" ht="15.75" customHeight="1">
      <c r="F679" s="1"/>
      <c r="G679" s="1"/>
    </row>
    <row r="680" spans="6:7" ht="15.75" customHeight="1">
      <c r="F680" s="1"/>
      <c r="G680" s="1"/>
    </row>
    <row r="681" spans="6:7" ht="15.75" customHeight="1">
      <c r="F681" s="1"/>
      <c r="G681" s="1"/>
    </row>
    <row r="682" spans="6:7" ht="15.75" customHeight="1">
      <c r="F682" s="1"/>
      <c r="G682" s="1"/>
    </row>
    <row r="683" spans="6:7" ht="15.75" customHeight="1">
      <c r="F683" s="1"/>
      <c r="G683" s="1"/>
    </row>
    <row r="684" spans="6:7" ht="15.75" customHeight="1">
      <c r="F684" s="1"/>
      <c r="G684" s="1"/>
    </row>
    <row r="685" spans="6:7" ht="15.75" customHeight="1">
      <c r="F685" s="1"/>
      <c r="G685" s="1"/>
    </row>
    <row r="686" spans="6:7" ht="15.75" customHeight="1">
      <c r="F686" s="1"/>
      <c r="G686" s="1"/>
    </row>
    <row r="687" spans="6:7" ht="15.75" customHeight="1">
      <c r="F687" s="1"/>
      <c r="G687" s="1"/>
    </row>
    <row r="688" spans="6:7" ht="15.75" customHeight="1">
      <c r="F688" s="1"/>
      <c r="G688" s="1"/>
    </row>
    <row r="689" spans="6:7" ht="15.75" customHeight="1">
      <c r="F689" s="1"/>
      <c r="G689" s="1"/>
    </row>
    <row r="690" spans="6:7" ht="15.75" customHeight="1">
      <c r="F690" s="1"/>
      <c r="G690" s="1"/>
    </row>
    <row r="691" spans="6:7" ht="15.75" customHeight="1">
      <c r="F691" s="1"/>
      <c r="G691" s="1"/>
    </row>
    <row r="692" spans="6:7" ht="15.75" customHeight="1">
      <c r="F692" s="1"/>
      <c r="G692" s="1"/>
    </row>
    <row r="693" spans="6:7" ht="15.75" customHeight="1">
      <c r="F693" s="1"/>
      <c r="G693" s="1"/>
    </row>
    <row r="694" spans="6:7" ht="15.75" customHeight="1">
      <c r="F694" s="1"/>
      <c r="G694" s="1"/>
    </row>
    <row r="695" spans="6:7" ht="15.75" customHeight="1">
      <c r="F695" s="1"/>
      <c r="G695" s="1"/>
    </row>
    <row r="696" spans="6:7" ht="15.75" customHeight="1">
      <c r="F696" s="1"/>
      <c r="G696" s="1"/>
    </row>
    <row r="697" spans="6:7" ht="15.75" customHeight="1">
      <c r="F697" s="1"/>
      <c r="G697" s="1"/>
    </row>
    <row r="698" spans="6:7" ht="15.75" customHeight="1">
      <c r="F698" s="1"/>
      <c r="G698" s="1"/>
    </row>
    <row r="699" spans="6:7" ht="15.75" customHeight="1">
      <c r="F699" s="1"/>
      <c r="G699" s="1"/>
    </row>
    <row r="700" spans="6:7" ht="15.75" customHeight="1">
      <c r="F700" s="1"/>
      <c r="G700" s="1"/>
    </row>
    <row r="701" spans="6:7" ht="15.75" customHeight="1">
      <c r="F701" s="1"/>
      <c r="G701" s="1"/>
    </row>
    <row r="702" spans="6:7" ht="15.75" customHeight="1">
      <c r="F702" s="1"/>
      <c r="G702" s="1"/>
    </row>
    <row r="703" spans="6:7" ht="15.75" customHeight="1">
      <c r="F703" s="1"/>
      <c r="G703" s="1"/>
    </row>
    <row r="704" spans="6:7" ht="15.75" customHeight="1">
      <c r="F704" s="1"/>
      <c r="G704" s="1"/>
    </row>
    <row r="705" spans="6:7" ht="15.75" customHeight="1">
      <c r="F705" s="1"/>
      <c r="G705" s="1"/>
    </row>
    <row r="706" spans="6:7" ht="15.75" customHeight="1">
      <c r="F706" s="1"/>
      <c r="G706" s="1"/>
    </row>
    <row r="707" spans="6:7" ht="15.75" customHeight="1">
      <c r="F707" s="1"/>
      <c r="G707" s="1"/>
    </row>
    <row r="708" spans="6:7" ht="15.75" customHeight="1">
      <c r="F708" s="1"/>
      <c r="G708" s="1"/>
    </row>
    <row r="709" spans="6:7" ht="15.75" customHeight="1">
      <c r="F709" s="1"/>
      <c r="G709" s="1"/>
    </row>
    <row r="710" spans="6:7" ht="15.75" customHeight="1">
      <c r="F710" s="1"/>
      <c r="G710" s="1"/>
    </row>
    <row r="711" spans="6:7" ht="15.75" customHeight="1">
      <c r="F711" s="1"/>
      <c r="G711" s="1"/>
    </row>
    <row r="712" spans="6:7" ht="15.75" customHeight="1">
      <c r="F712" s="1"/>
      <c r="G712" s="1"/>
    </row>
    <row r="713" spans="6:7" ht="15.75" customHeight="1">
      <c r="F713" s="1"/>
      <c r="G713" s="1"/>
    </row>
    <row r="714" spans="6:7" ht="15.75" customHeight="1">
      <c r="F714" s="1"/>
      <c r="G714" s="1"/>
    </row>
    <row r="715" spans="6:7" ht="15.75" customHeight="1">
      <c r="F715" s="1"/>
      <c r="G715" s="1"/>
    </row>
    <row r="716" spans="6:7" ht="15.75" customHeight="1">
      <c r="F716" s="1"/>
      <c r="G716" s="1"/>
    </row>
    <row r="717" spans="6:7" ht="15.75" customHeight="1">
      <c r="F717" s="1"/>
      <c r="G717" s="1"/>
    </row>
    <row r="718" spans="6:7" ht="15.75" customHeight="1">
      <c r="F718" s="1"/>
      <c r="G718" s="1"/>
    </row>
    <row r="719" spans="6:7" ht="15.75" customHeight="1">
      <c r="F719" s="1"/>
      <c r="G719" s="1"/>
    </row>
    <row r="720" spans="6:7" ht="15.75" customHeight="1">
      <c r="F720" s="1"/>
      <c r="G720" s="1"/>
    </row>
    <row r="721" spans="6:7" ht="15.75" customHeight="1">
      <c r="F721" s="1"/>
      <c r="G721" s="1"/>
    </row>
    <row r="722" spans="6:7" ht="15.75" customHeight="1">
      <c r="F722" s="1"/>
      <c r="G722" s="1"/>
    </row>
    <row r="723" spans="6:7" ht="15.75" customHeight="1">
      <c r="F723" s="1"/>
      <c r="G723" s="1"/>
    </row>
    <row r="724" spans="6:7" ht="15.75" customHeight="1">
      <c r="F724" s="1"/>
      <c r="G724" s="1"/>
    </row>
    <row r="725" spans="6:7" ht="15.75" customHeight="1">
      <c r="F725" s="1"/>
      <c r="G725" s="1"/>
    </row>
    <row r="726" spans="6:7" ht="15.75" customHeight="1">
      <c r="F726" s="1"/>
      <c r="G726" s="1"/>
    </row>
    <row r="727" spans="6:7" ht="15.75" customHeight="1">
      <c r="F727" s="1"/>
      <c r="G727" s="1"/>
    </row>
    <row r="728" spans="6:7" ht="15.75" customHeight="1">
      <c r="F728" s="1"/>
      <c r="G728" s="1"/>
    </row>
    <row r="729" spans="6:7" ht="15.75" customHeight="1">
      <c r="F729" s="1"/>
      <c r="G729" s="1"/>
    </row>
    <row r="730" spans="6:7" ht="15.75" customHeight="1">
      <c r="F730" s="1"/>
      <c r="G730" s="1"/>
    </row>
    <row r="731" spans="6:7" ht="15.75" customHeight="1">
      <c r="F731" s="1"/>
      <c r="G731" s="1"/>
    </row>
    <row r="732" spans="6:7" ht="15.75" customHeight="1">
      <c r="F732" s="1"/>
      <c r="G732" s="1"/>
    </row>
    <row r="733" spans="6:7" ht="15.75" customHeight="1">
      <c r="F733" s="1"/>
      <c r="G733" s="1"/>
    </row>
    <row r="734" spans="6:7" ht="15.75" customHeight="1">
      <c r="F734" s="1"/>
      <c r="G734" s="1"/>
    </row>
    <row r="735" spans="6:7" ht="15.75" customHeight="1">
      <c r="F735" s="1"/>
      <c r="G735" s="1"/>
    </row>
    <row r="736" spans="6:7" ht="15.75" customHeight="1">
      <c r="F736" s="1"/>
      <c r="G736" s="1"/>
    </row>
    <row r="737" spans="6:7" ht="15.75" customHeight="1">
      <c r="F737" s="1"/>
      <c r="G737" s="1"/>
    </row>
    <row r="738" spans="6:7" ht="15.75" customHeight="1">
      <c r="F738" s="1"/>
      <c r="G738" s="1"/>
    </row>
    <row r="739" spans="6:7" ht="15.75" customHeight="1">
      <c r="F739" s="1"/>
      <c r="G739" s="1"/>
    </row>
    <row r="740" spans="6:7" ht="15.75" customHeight="1">
      <c r="F740" s="1"/>
      <c r="G740" s="1"/>
    </row>
    <row r="741" spans="6:7" ht="15.75" customHeight="1">
      <c r="F741" s="1"/>
      <c r="G741" s="1"/>
    </row>
    <row r="742" spans="6:7" ht="15.75" customHeight="1">
      <c r="F742" s="1"/>
      <c r="G742" s="1"/>
    </row>
    <row r="743" spans="6:7" ht="15.75" customHeight="1">
      <c r="F743" s="1"/>
      <c r="G743" s="1"/>
    </row>
    <row r="744" spans="6:7" ht="15.75" customHeight="1">
      <c r="F744" s="1"/>
      <c r="G744" s="1"/>
    </row>
    <row r="745" spans="6:7" ht="15.75" customHeight="1">
      <c r="F745" s="1"/>
      <c r="G745" s="1"/>
    </row>
    <row r="746" spans="6:7" ht="15.75" customHeight="1">
      <c r="F746" s="1"/>
      <c r="G746" s="1"/>
    </row>
    <row r="747" spans="6:7" ht="15.75" customHeight="1">
      <c r="F747" s="1"/>
      <c r="G747" s="1"/>
    </row>
    <row r="748" spans="6:7" ht="15.75" customHeight="1">
      <c r="F748" s="1"/>
      <c r="G748" s="1"/>
    </row>
    <row r="749" spans="6:7" ht="15.75" customHeight="1">
      <c r="F749" s="1"/>
      <c r="G749" s="1"/>
    </row>
    <row r="750" spans="6:7" ht="15.75" customHeight="1">
      <c r="F750" s="1"/>
      <c r="G750" s="1"/>
    </row>
    <row r="751" spans="6:7" ht="15.75" customHeight="1">
      <c r="F751" s="1"/>
      <c r="G751" s="1"/>
    </row>
    <row r="752" spans="6:7" ht="15.75" customHeight="1">
      <c r="F752" s="1"/>
      <c r="G752" s="1"/>
    </row>
    <row r="753" spans="6:7" ht="15.75" customHeight="1">
      <c r="F753" s="1"/>
      <c r="G753" s="1"/>
    </row>
    <row r="754" spans="6:7" ht="15.75" customHeight="1">
      <c r="F754" s="1"/>
      <c r="G754" s="1"/>
    </row>
    <row r="755" spans="6:7" ht="15.75" customHeight="1">
      <c r="F755" s="1"/>
      <c r="G755" s="1"/>
    </row>
    <row r="756" spans="6:7" ht="15.75" customHeight="1">
      <c r="F756" s="1"/>
      <c r="G756" s="1"/>
    </row>
    <row r="757" spans="6:7" ht="15.75" customHeight="1">
      <c r="F757" s="1"/>
      <c r="G757" s="1"/>
    </row>
    <row r="758" spans="6:7" ht="15.75" customHeight="1">
      <c r="F758" s="1"/>
      <c r="G758" s="1"/>
    </row>
    <row r="759" spans="6:7" ht="15.75" customHeight="1">
      <c r="F759" s="1"/>
      <c r="G759" s="1"/>
    </row>
    <row r="760" spans="6:7" ht="15.75" customHeight="1">
      <c r="F760" s="1"/>
      <c r="G760" s="1"/>
    </row>
    <row r="761" spans="6:7" ht="15.75" customHeight="1">
      <c r="F761" s="1"/>
      <c r="G761" s="1"/>
    </row>
    <row r="762" spans="6:7" ht="15.75" customHeight="1">
      <c r="F762" s="1"/>
      <c r="G762" s="1"/>
    </row>
    <row r="763" spans="6:7" ht="15.75" customHeight="1">
      <c r="F763" s="1"/>
      <c r="G763" s="1"/>
    </row>
    <row r="764" spans="6:7" ht="15.75" customHeight="1">
      <c r="F764" s="1"/>
      <c r="G764" s="1"/>
    </row>
    <row r="765" spans="6:7" ht="15.75" customHeight="1">
      <c r="F765" s="1"/>
      <c r="G765" s="1"/>
    </row>
    <row r="766" spans="6:7" ht="15.75" customHeight="1">
      <c r="F766" s="1"/>
      <c r="G766" s="1"/>
    </row>
    <row r="767" spans="6:7" ht="15.75" customHeight="1">
      <c r="F767" s="1"/>
      <c r="G767" s="1"/>
    </row>
    <row r="768" spans="6:7" ht="15.75" customHeight="1">
      <c r="F768" s="1"/>
      <c r="G768" s="1"/>
    </row>
    <row r="769" spans="6:7" ht="15.75" customHeight="1">
      <c r="F769" s="1"/>
      <c r="G769" s="1"/>
    </row>
    <row r="770" spans="6:7" ht="15.75" customHeight="1">
      <c r="F770" s="1"/>
      <c r="G770" s="1"/>
    </row>
    <row r="771" spans="6:7" ht="15.75" customHeight="1">
      <c r="F771" s="1"/>
      <c r="G771" s="1"/>
    </row>
    <row r="772" spans="6:7" ht="15.75" customHeight="1">
      <c r="F772" s="1"/>
      <c r="G772" s="1"/>
    </row>
    <row r="773" spans="6:7" ht="15.75" customHeight="1">
      <c r="F773" s="1"/>
      <c r="G773" s="1"/>
    </row>
    <row r="774" spans="6:7" ht="15.75" customHeight="1">
      <c r="F774" s="1"/>
      <c r="G774" s="1"/>
    </row>
    <row r="775" spans="6:7" ht="15.75" customHeight="1">
      <c r="F775" s="1"/>
      <c r="G775" s="1"/>
    </row>
    <row r="776" spans="6:7" ht="15.75" customHeight="1">
      <c r="F776" s="1"/>
      <c r="G776" s="1"/>
    </row>
    <row r="777" spans="6:7" ht="15.75" customHeight="1">
      <c r="F777" s="1"/>
      <c r="G777" s="1"/>
    </row>
    <row r="778" spans="6:7" ht="15.75" customHeight="1">
      <c r="F778" s="1"/>
      <c r="G778" s="1"/>
    </row>
    <row r="779" spans="6:7" ht="15.75" customHeight="1">
      <c r="F779" s="1"/>
      <c r="G779" s="1"/>
    </row>
    <row r="780" spans="6:7" ht="15.75" customHeight="1">
      <c r="F780" s="1"/>
      <c r="G780" s="1"/>
    </row>
    <row r="781" spans="6:7" ht="15.75" customHeight="1">
      <c r="F781" s="1"/>
      <c r="G781" s="1"/>
    </row>
    <row r="782" spans="6:7" ht="15.75" customHeight="1">
      <c r="F782" s="1"/>
      <c r="G782" s="1"/>
    </row>
    <row r="783" spans="6:7" ht="15.75" customHeight="1">
      <c r="F783" s="1"/>
      <c r="G783" s="1"/>
    </row>
    <row r="784" spans="6:7" ht="15.75" customHeight="1">
      <c r="F784" s="1"/>
      <c r="G784" s="1"/>
    </row>
    <row r="785" spans="6:7" ht="15.75" customHeight="1">
      <c r="F785" s="1"/>
      <c r="G785" s="1"/>
    </row>
    <row r="786" spans="6:7" ht="15.75" customHeight="1">
      <c r="F786" s="1"/>
      <c r="G786" s="1"/>
    </row>
    <row r="787" spans="6:7" ht="15.75" customHeight="1">
      <c r="F787" s="1"/>
      <c r="G787" s="1"/>
    </row>
    <row r="788" spans="6:7" ht="15.75" customHeight="1">
      <c r="F788" s="1"/>
      <c r="G788" s="1"/>
    </row>
    <row r="789" spans="6:7" ht="15.75" customHeight="1">
      <c r="F789" s="1"/>
      <c r="G789" s="1"/>
    </row>
    <row r="790" spans="6:7" ht="15.75" customHeight="1">
      <c r="F790" s="1"/>
      <c r="G790" s="1"/>
    </row>
    <row r="791" spans="6:7" ht="15.75" customHeight="1">
      <c r="F791" s="1"/>
      <c r="G791" s="1"/>
    </row>
    <row r="792" spans="6:7" ht="15.75" customHeight="1">
      <c r="F792" s="1"/>
      <c r="G792" s="1"/>
    </row>
    <row r="793" spans="6:7" ht="15.75" customHeight="1">
      <c r="F793" s="1"/>
      <c r="G793" s="1"/>
    </row>
    <row r="794" spans="6:7" ht="15.75" customHeight="1">
      <c r="F794" s="1"/>
      <c r="G794" s="1"/>
    </row>
    <row r="795" spans="6:7" ht="15.75" customHeight="1">
      <c r="F795" s="1"/>
      <c r="G795" s="1"/>
    </row>
    <row r="796" spans="6:7" ht="15.75" customHeight="1">
      <c r="F796" s="1"/>
      <c r="G796" s="1"/>
    </row>
    <row r="797" spans="6:7" ht="15.75" customHeight="1">
      <c r="F797" s="1"/>
      <c r="G797" s="1"/>
    </row>
    <row r="798" spans="6:7" ht="15.75" customHeight="1">
      <c r="F798" s="1"/>
      <c r="G798" s="1"/>
    </row>
    <row r="799" spans="6:7" ht="15.75" customHeight="1">
      <c r="F799" s="1"/>
      <c r="G799" s="1"/>
    </row>
    <row r="800" spans="6:7" ht="15.75" customHeight="1">
      <c r="F800" s="1"/>
      <c r="G800" s="1"/>
    </row>
    <row r="801" spans="6:7" ht="15.75" customHeight="1">
      <c r="F801" s="1"/>
      <c r="G801" s="1"/>
    </row>
    <row r="802" spans="6:7" ht="15.75" customHeight="1">
      <c r="F802" s="1"/>
      <c r="G802" s="1"/>
    </row>
    <row r="803" spans="6:7" ht="15.75" customHeight="1">
      <c r="F803" s="1"/>
      <c r="G803" s="1"/>
    </row>
    <row r="804" spans="6:7" ht="15.75" customHeight="1">
      <c r="F804" s="1"/>
      <c r="G804" s="1"/>
    </row>
    <row r="805" spans="6:7" ht="15.75" customHeight="1">
      <c r="F805" s="1"/>
      <c r="G805" s="1"/>
    </row>
    <row r="806" spans="6:7" ht="15.75" customHeight="1">
      <c r="F806" s="1"/>
      <c r="G806" s="1"/>
    </row>
    <row r="807" spans="6:7" ht="15.75" customHeight="1">
      <c r="F807" s="1"/>
      <c r="G807" s="1"/>
    </row>
    <row r="808" spans="6:7" ht="15.75" customHeight="1">
      <c r="F808" s="1"/>
      <c r="G808" s="1"/>
    </row>
    <row r="809" spans="6:7" ht="15.75" customHeight="1">
      <c r="F809" s="1"/>
      <c r="G809" s="1"/>
    </row>
    <row r="810" spans="6:7" ht="15.75" customHeight="1">
      <c r="F810" s="1"/>
      <c r="G810" s="1"/>
    </row>
    <row r="811" spans="6:7" ht="15.75" customHeight="1">
      <c r="F811" s="1"/>
      <c r="G811" s="1"/>
    </row>
    <row r="812" spans="6:7" ht="15.75" customHeight="1">
      <c r="F812" s="1"/>
      <c r="G812" s="1"/>
    </row>
    <row r="813" spans="6:7" ht="15.75" customHeight="1">
      <c r="F813" s="1"/>
      <c r="G813" s="1"/>
    </row>
    <row r="814" spans="6:7" ht="15.75" customHeight="1">
      <c r="F814" s="1"/>
      <c r="G814" s="1"/>
    </row>
    <row r="815" spans="6:7" ht="15.75" customHeight="1">
      <c r="F815" s="1"/>
      <c r="G815" s="1"/>
    </row>
    <row r="816" spans="6:7" ht="15.75" customHeight="1">
      <c r="F816" s="1"/>
      <c r="G816" s="1"/>
    </row>
    <row r="817" spans="6:7" ht="15.75" customHeight="1">
      <c r="F817" s="1"/>
      <c r="G817" s="1"/>
    </row>
    <row r="818" spans="6:7" ht="15.75" customHeight="1">
      <c r="F818" s="1"/>
      <c r="G818" s="1"/>
    </row>
    <row r="819" spans="6:7" ht="15.75" customHeight="1">
      <c r="F819" s="1"/>
      <c r="G819" s="1"/>
    </row>
    <row r="820" spans="6:7" ht="15.75" customHeight="1">
      <c r="F820" s="1"/>
      <c r="G820" s="1"/>
    </row>
    <row r="821" spans="6:7" ht="15.75" customHeight="1">
      <c r="F821" s="1"/>
      <c r="G821" s="1"/>
    </row>
    <row r="822" spans="6:7" ht="15.75" customHeight="1">
      <c r="F822" s="1"/>
      <c r="G822" s="1"/>
    </row>
    <row r="823" spans="6:7" ht="15.75" customHeight="1">
      <c r="F823" s="1"/>
      <c r="G823" s="1"/>
    </row>
    <row r="824" spans="6:7" ht="15.75" customHeight="1">
      <c r="F824" s="1"/>
      <c r="G824" s="1"/>
    </row>
    <row r="825" spans="6:7" ht="15.75" customHeight="1">
      <c r="F825" s="1"/>
      <c r="G825" s="1"/>
    </row>
    <row r="826" spans="6:7" ht="15.75" customHeight="1">
      <c r="F826" s="1"/>
      <c r="G826" s="1"/>
    </row>
    <row r="827" spans="6:7" ht="15.75" customHeight="1">
      <c r="F827" s="1"/>
      <c r="G827" s="1"/>
    </row>
    <row r="828" spans="6:7" ht="15.75" customHeight="1">
      <c r="F828" s="1"/>
      <c r="G828" s="1"/>
    </row>
    <row r="829" spans="6:7" ht="15.75" customHeight="1">
      <c r="F829" s="1"/>
      <c r="G829" s="1"/>
    </row>
    <row r="830" spans="6:7" ht="15.75" customHeight="1">
      <c r="F830" s="1"/>
      <c r="G830" s="1"/>
    </row>
    <row r="831" spans="6:7" ht="15.75" customHeight="1">
      <c r="F831" s="1"/>
      <c r="G831" s="1"/>
    </row>
    <row r="832" spans="6:7" ht="15.75" customHeight="1">
      <c r="F832" s="1"/>
      <c r="G832" s="1"/>
    </row>
    <row r="833" spans="6:7" ht="15.75" customHeight="1">
      <c r="F833" s="1"/>
      <c r="G833" s="1"/>
    </row>
    <row r="834" spans="6:7" ht="15.75" customHeight="1">
      <c r="F834" s="1"/>
      <c r="G834" s="1"/>
    </row>
    <row r="835" spans="6:7" ht="15.75" customHeight="1">
      <c r="F835" s="1"/>
      <c r="G835" s="1"/>
    </row>
    <row r="836" spans="6:7" ht="15.75" customHeight="1">
      <c r="F836" s="1"/>
      <c r="G836" s="1"/>
    </row>
    <row r="837" spans="6:7" ht="15.75" customHeight="1">
      <c r="F837" s="1"/>
      <c r="G837" s="1"/>
    </row>
    <row r="838" spans="6:7" ht="15.75" customHeight="1">
      <c r="F838" s="1"/>
      <c r="G838" s="1"/>
    </row>
    <row r="839" spans="6:7" ht="15.75" customHeight="1">
      <c r="F839" s="1"/>
      <c r="G839" s="1"/>
    </row>
    <row r="840" spans="6:7" ht="15.75" customHeight="1">
      <c r="F840" s="1"/>
      <c r="G840" s="1"/>
    </row>
    <row r="841" spans="6:7" ht="15.75" customHeight="1">
      <c r="F841" s="1"/>
      <c r="G841" s="1"/>
    </row>
    <row r="842" spans="6:7" ht="15.75" customHeight="1">
      <c r="F842" s="1"/>
      <c r="G842" s="1"/>
    </row>
    <row r="843" spans="6:7" ht="15.75" customHeight="1">
      <c r="F843" s="1"/>
      <c r="G843" s="1"/>
    </row>
    <row r="844" spans="6:7" ht="15.75" customHeight="1">
      <c r="F844" s="1"/>
      <c r="G844" s="1"/>
    </row>
    <row r="845" spans="6:7" ht="15.75" customHeight="1">
      <c r="F845" s="1"/>
      <c r="G845" s="1"/>
    </row>
    <row r="846" spans="6:7" ht="15.75" customHeight="1">
      <c r="F846" s="1"/>
      <c r="G846" s="1"/>
    </row>
    <row r="847" spans="6:7" ht="15.75" customHeight="1">
      <c r="F847" s="1"/>
      <c r="G847" s="1"/>
    </row>
    <row r="848" spans="6:7" ht="15.75" customHeight="1">
      <c r="F848" s="1"/>
      <c r="G848" s="1"/>
    </row>
    <row r="849" spans="6:7" ht="15.75" customHeight="1">
      <c r="F849" s="1"/>
      <c r="G849" s="1"/>
    </row>
    <row r="850" spans="6:7" ht="15.75" customHeight="1">
      <c r="F850" s="1"/>
      <c r="G850" s="1"/>
    </row>
    <row r="851" spans="6:7" ht="15.75" customHeight="1">
      <c r="F851" s="1"/>
      <c r="G851" s="1"/>
    </row>
    <row r="852" spans="6:7" ht="15.75" customHeight="1">
      <c r="F852" s="1"/>
      <c r="G852" s="1"/>
    </row>
    <row r="853" spans="6:7" ht="15.75" customHeight="1">
      <c r="F853" s="1"/>
      <c r="G853" s="1"/>
    </row>
    <row r="854" spans="6:7" ht="15.75" customHeight="1">
      <c r="F854" s="1"/>
      <c r="G854" s="1"/>
    </row>
    <row r="855" spans="6:7" ht="15.75" customHeight="1">
      <c r="F855" s="1"/>
      <c r="G855" s="1"/>
    </row>
    <row r="856" spans="6:7" ht="15.75" customHeight="1">
      <c r="F856" s="1"/>
      <c r="G856" s="1"/>
    </row>
    <row r="857" spans="6:7" ht="15.75" customHeight="1">
      <c r="F857" s="1"/>
      <c r="G857" s="1"/>
    </row>
    <row r="858" spans="6:7" ht="15.75" customHeight="1">
      <c r="F858" s="1"/>
      <c r="G858" s="1"/>
    </row>
    <row r="859" spans="6:7" ht="15.75" customHeight="1">
      <c r="F859" s="1"/>
      <c r="G859" s="1"/>
    </row>
    <row r="860" spans="6:7" ht="15.75" customHeight="1">
      <c r="F860" s="1"/>
      <c r="G860" s="1"/>
    </row>
    <row r="861" spans="6:7" ht="15.75" customHeight="1">
      <c r="F861" s="1"/>
      <c r="G861" s="1"/>
    </row>
    <row r="862" spans="6:7" ht="15.75" customHeight="1">
      <c r="F862" s="1"/>
      <c r="G862" s="1"/>
    </row>
    <row r="863" spans="6:7" ht="15.75" customHeight="1">
      <c r="F863" s="1"/>
      <c r="G863" s="1"/>
    </row>
    <row r="864" spans="6:7" ht="15.75" customHeight="1">
      <c r="F864" s="1"/>
      <c r="G864" s="1"/>
    </row>
    <row r="865" spans="6:7" ht="15.75" customHeight="1">
      <c r="F865" s="1"/>
      <c r="G865" s="1"/>
    </row>
    <row r="866" spans="6:7" ht="15.75" customHeight="1">
      <c r="F866" s="1"/>
      <c r="G866" s="1"/>
    </row>
    <row r="867" spans="6:7" ht="15.75" customHeight="1">
      <c r="F867" s="1"/>
      <c r="G867" s="1"/>
    </row>
    <row r="868" spans="6:7" ht="15.75" customHeight="1">
      <c r="F868" s="1"/>
      <c r="G868" s="1"/>
    </row>
    <row r="869" spans="6:7" ht="15.75" customHeight="1">
      <c r="F869" s="1"/>
      <c r="G869" s="1"/>
    </row>
    <row r="870" spans="6:7" ht="15.75" customHeight="1">
      <c r="F870" s="1"/>
      <c r="G870" s="1"/>
    </row>
    <row r="871" spans="6:7" ht="15.75" customHeight="1">
      <c r="F871" s="1"/>
      <c r="G871" s="1"/>
    </row>
    <row r="872" spans="6:7" ht="15.75" customHeight="1">
      <c r="F872" s="1"/>
      <c r="G872" s="1"/>
    </row>
    <row r="873" spans="6:7" ht="15.75" customHeight="1">
      <c r="F873" s="1"/>
      <c r="G873" s="1"/>
    </row>
    <row r="874" spans="6:7" ht="15.75" customHeight="1">
      <c r="F874" s="1"/>
      <c r="G874" s="1"/>
    </row>
    <row r="875" spans="6:7" ht="15.75" customHeight="1">
      <c r="F875" s="1"/>
      <c r="G875" s="1"/>
    </row>
    <row r="876" spans="6:7" ht="15.75" customHeight="1">
      <c r="F876" s="1"/>
      <c r="G876" s="1"/>
    </row>
    <row r="877" spans="6:7" ht="15.75" customHeight="1">
      <c r="F877" s="1"/>
      <c r="G877" s="1"/>
    </row>
    <row r="878" spans="6:7" ht="15.75" customHeight="1">
      <c r="F878" s="1"/>
      <c r="G878" s="1"/>
    </row>
    <row r="879" spans="6:7" ht="15.75" customHeight="1">
      <c r="F879" s="1"/>
      <c r="G879" s="1"/>
    </row>
    <row r="880" spans="6:7" ht="15.75" customHeight="1">
      <c r="F880" s="1"/>
      <c r="G880" s="1"/>
    </row>
    <row r="881" spans="6:7" ht="15.75" customHeight="1">
      <c r="F881" s="1"/>
      <c r="G881" s="1"/>
    </row>
    <row r="882" spans="6:7" ht="15.75" customHeight="1">
      <c r="F882" s="1"/>
      <c r="G882" s="1"/>
    </row>
    <row r="883" spans="6:7" ht="15.75" customHeight="1">
      <c r="F883" s="1"/>
      <c r="G883" s="1"/>
    </row>
    <row r="884" spans="6:7" ht="15.75" customHeight="1">
      <c r="F884" s="1"/>
      <c r="G884" s="1"/>
    </row>
    <row r="885" spans="6:7" ht="15.75" customHeight="1">
      <c r="F885" s="1"/>
      <c r="G885" s="1"/>
    </row>
    <row r="886" spans="6:7" ht="15.75" customHeight="1">
      <c r="F886" s="1"/>
      <c r="G886" s="1"/>
    </row>
    <row r="887" spans="6:7" ht="15.75" customHeight="1">
      <c r="F887" s="1"/>
      <c r="G887" s="1"/>
    </row>
    <row r="888" spans="6:7" ht="15.75" customHeight="1">
      <c r="F888" s="1"/>
      <c r="G888" s="1"/>
    </row>
    <row r="889" spans="6:7" ht="15.75" customHeight="1">
      <c r="F889" s="1"/>
      <c r="G889" s="1"/>
    </row>
    <row r="890" spans="6:7" ht="15.75" customHeight="1">
      <c r="F890" s="1"/>
      <c r="G890" s="1"/>
    </row>
    <row r="891" spans="6:7" ht="15.75" customHeight="1">
      <c r="F891" s="1"/>
      <c r="G891" s="1"/>
    </row>
    <row r="892" spans="6:7" ht="15.75" customHeight="1">
      <c r="F892" s="1"/>
      <c r="G892" s="1"/>
    </row>
    <row r="893" spans="6:7" ht="15.75" customHeight="1">
      <c r="F893" s="1"/>
      <c r="G893" s="1"/>
    </row>
    <row r="894" spans="6:7" ht="15.75" customHeight="1">
      <c r="F894" s="1"/>
      <c r="G894" s="1"/>
    </row>
    <row r="895" spans="6:7" ht="15.75" customHeight="1">
      <c r="F895" s="1"/>
      <c r="G895" s="1"/>
    </row>
    <row r="896" spans="6:7" ht="15.75" customHeight="1">
      <c r="F896" s="1"/>
      <c r="G896" s="1"/>
    </row>
    <row r="897" spans="6:7" ht="15.75" customHeight="1">
      <c r="F897" s="1"/>
      <c r="G897" s="1"/>
    </row>
    <row r="898" spans="6:7" ht="15.75" customHeight="1">
      <c r="F898" s="1"/>
      <c r="G898" s="1"/>
    </row>
    <row r="899" spans="6:7" ht="15.75" customHeight="1">
      <c r="F899" s="1"/>
      <c r="G899" s="1"/>
    </row>
    <row r="900" spans="6:7" ht="15.75" customHeight="1">
      <c r="F900" s="1"/>
      <c r="G900" s="1"/>
    </row>
    <row r="901" spans="6:7" ht="15.75" customHeight="1">
      <c r="F901" s="1"/>
      <c r="G901" s="1"/>
    </row>
    <row r="902" spans="6:7" ht="15.75" customHeight="1">
      <c r="F902" s="1"/>
      <c r="G902" s="1"/>
    </row>
    <row r="903" spans="6:7" ht="15.75" customHeight="1">
      <c r="F903" s="1"/>
      <c r="G903" s="1"/>
    </row>
    <row r="904" spans="6:7" ht="15.75" customHeight="1">
      <c r="F904" s="1"/>
      <c r="G904" s="1"/>
    </row>
    <row r="905" spans="6:7" ht="15.75" customHeight="1">
      <c r="F905" s="1"/>
      <c r="G905" s="1"/>
    </row>
    <row r="906" spans="6:7" ht="15.75" customHeight="1">
      <c r="F906" s="1"/>
      <c r="G906" s="1"/>
    </row>
    <row r="907" spans="6:7" ht="15.75" customHeight="1">
      <c r="F907" s="1"/>
      <c r="G907" s="1"/>
    </row>
    <row r="908" spans="6:7" ht="15.75" customHeight="1">
      <c r="F908" s="1"/>
      <c r="G908" s="1"/>
    </row>
    <row r="909" spans="6:7" ht="15.75" customHeight="1">
      <c r="F909" s="1"/>
      <c r="G909" s="1"/>
    </row>
    <row r="910" spans="6:7" ht="15.75" customHeight="1">
      <c r="F910" s="1"/>
      <c r="G910" s="1"/>
    </row>
    <row r="911" spans="6:7" ht="15.75" customHeight="1">
      <c r="F911" s="1"/>
      <c r="G911" s="1"/>
    </row>
    <row r="912" spans="6:7" ht="15.75" customHeight="1">
      <c r="F912" s="1"/>
      <c r="G912" s="1"/>
    </row>
    <row r="913" spans="6:7" ht="15.75" customHeight="1">
      <c r="F913" s="1"/>
      <c r="G913" s="1"/>
    </row>
    <row r="914" spans="6:7" ht="15.75" customHeight="1">
      <c r="F914" s="1"/>
      <c r="G914" s="1"/>
    </row>
    <row r="915" spans="6:7" ht="15.75" customHeight="1">
      <c r="F915" s="1"/>
      <c r="G915" s="1"/>
    </row>
    <row r="916" spans="6:7" ht="15.75" customHeight="1">
      <c r="F916" s="1"/>
      <c r="G916" s="1"/>
    </row>
    <row r="917" spans="6:7" ht="15.75" customHeight="1">
      <c r="F917" s="1"/>
      <c r="G917" s="1"/>
    </row>
    <row r="918" spans="6:7" ht="15.75" customHeight="1">
      <c r="F918" s="1"/>
      <c r="G918" s="1"/>
    </row>
    <row r="919" spans="6:7" ht="15.75" customHeight="1">
      <c r="F919" s="1"/>
      <c r="G919" s="1"/>
    </row>
    <row r="920" spans="6:7" ht="15.75" customHeight="1">
      <c r="F920" s="1"/>
      <c r="G920" s="1"/>
    </row>
    <row r="921" spans="6:7" ht="15.75" customHeight="1">
      <c r="F921" s="1"/>
      <c r="G921" s="1"/>
    </row>
    <row r="922" spans="6:7" ht="15.75" customHeight="1">
      <c r="F922" s="1"/>
      <c r="G922" s="1"/>
    </row>
    <row r="923" spans="6:7" ht="15.75" customHeight="1">
      <c r="F923" s="1"/>
      <c r="G923" s="1"/>
    </row>
    <row r="924" spans="6:7" ht="15.75" customHeight="1">
      <c r="F924" s="1"/>
      <c r="G924" s="1"/>
    </row>
    <row r="925" spans="6:7" ht="15.75" customHeight="1">
      <c r="F925" s="1"/>
      <c r="G925" s="1"/>
    </row>
    <row r="926" spans="6:7" ht="15.75" customHeight="1">
      <c r="F926" s="1"/>
      <c r="G926" s="1"/>
    </row>
    <row r="927" spans="6:7" ht="15.75" customHeight="1">
      <c r="F927" s="1"/>
      <c r="G927" s="1"/>
    </row>
    <row r="928" spans="6:7" ht="15.75" customHeight="1">
      <c r="F928" s="1"/>
      <c r="G928" s="1"/>
    </row>
    <row r="929" spans="6:7" ht="15.75" customHeight="1">
      <c r="F929" s="1"/>
      <c r="G929" s="1"/>
    </row>
    <row r="930" spans="6:7" ht="15.75" customHeight="1">
      <c r="F930" s="1"/>
      <c r="G930" s="1"/>
    </row>
    <row r="931" spans="6:7" ht="15.75" customHeight="1">
      <c r="F931" s="1"/>
      <c r="G931" s="1"/>
    </row>
    <row r="932" spans="6:7" ht="15.75" customHeight="1">
      <c r="F932" s="1"/>
      <c r="G932" s="1"/>
    </row>
    <row r="933" spans="6:7" ht="15.75" customHeight="1">
      <c r="F933" s="1"/>
      <c r="G933" s="1"/>
    </row>
    <row r="934" spans="6:7" ht="15.75" customHeight="1">
      <c r="F934" s="1"/>
      <c r="G934" s="1"/>
    </row>
    <row r="935" spans="6:7" ht="15.75" customHeight="1">
      <c r="F935" s="1"/>
      <c r="G935" s="1"/>
    </row>
    <row r="936" spans="6:7" ht="15.75" customHeight="1">
      <c r="F936" s="1"/>
      <c r="G936" s="1"/>
    </row>
    <row r="937" spans="6:7" ht="15.75" customHeight="1">
      <c r="F937" s="1"/>
      <c r="G937" s="1"/>
    </row>
    <row r="938" spans="6:7" ht="15.75" customHeight="1">
      <c r="F938" s="1"/>
      <c r="G938" s="1"/>
    </row>
    <row r="939" spans="6:7" ht="15.75" customHeight="1">
      <c r="F939" s="1"/>
      <c r="G939" s="1"/>
    </row>
    <row r="940" spans="6:7" ht="15.75" customHeight="1">
      <c r="F940" s="1"/>
      <c r="G940" s="1"/>
    </row>
    <row r="941" spans="6:7" ht="15.75" customHeight="1">
      <c r="F941" s="1"/>
      <c r="G941" s="1"/>
    </row>
    <row r="942" spans="6:7" ht="15.75" customHeight="1">
      <c r="F942" s="1"/>
      <c r="G942" s="1"/>
    </row>
    <row r="943" spans="6:7" ht="15.75" customHeight="1">
      <c r="F943" s="1"/>
      <c r="G943" s="1"/>
    </row>
    <row r="944" spans="6:7" ht="15.75" customHeight="1">
      <c r="F944" s="1"/>
      <c r="G944" s="1"/>
    </row>
    <row r="945" spans="6:7" ht="15.75" customHeight="1">
      <c r="F945" s="1"/>
      <c r="G945" s="1"/>
    </row>
    <row r="946" spans="6:7" ht="15.75" customHeight="1">
      <c r="F946" s="1"/>
      <c r="G946" s="1"/>
    </row>
    <row r="947" spans="6:7" ht="15.75" customHeight="1">
      <c r="F947" s="1"/>
      <c r="G947" s="1"/>
    </row>
    <row r="948" spans="6:7" ht="15.75" customHeight="1">
      <c r="F948" s="1"/>
      <c r="G948" s="1"/>
    </row>
    <row r="949" spans="6:7" ht="15.75" customHeight="1">
      <c r="F949" s="1"/>
      <c r="G949" s="1"/>
    </row>
    <row r="950" spans="6:7" ht="15.75" customHeight="1">
      <c r="F950" s="1"/>
      <c r="G950" s="1"/>
    </row>
    <row r="951" spans="6:7" ht="15.75" customHeight="1">
      <c r="F951" s="1"/>
      <c r="G951" s="1"/>
    </row>
    <row r="952" spans="6:7" ht="15.75" customHeight="1">
      <c r="F952" s="1"/>
      <c r="G952" s="1"/>
    </row>
    <row r="953" spans="6:7" ht="15.75" customHeight="1">
      <c r="F953" s="1"/>
      <c r="G953" s="1"/>
    </row>
    <row r="954" spans="6:7" ht="15.75" customHeight="1">
      <c r="F954" s="1"/>
      <c r="G954" s="1"/>
    </row>
    <row r="955" spans="6:7" ht="15.75" customHeight="1">
      <c r="F955" s="1"/>
      <c r="G955" s="1"/>
    </row>
    <row r="956" spans="6:7" ht="15.75" customHeight="1">
      <c r="F956" s="1"/>
      <c r="G956" s="1"/>
    </row>
    <row r="957" spans="6:7" ht="15.75" customHeight="1">
      <c r="F957" s="1"/>
      <c r="G957" s="1"/>
    </row>
    <row r="958" spans="6:7" ht="15.75" customHeight="1">
      <c r="F958" s="1"/>
      <c r="G958" s="1"/>
    </row>
    <row r="959" spans="6:7" ht="15.75" customHeight="1">
      <c r="F959" s="1"/>
      <c r="G959" s="1"/>
    </row>
    <row r="960" spans="6:7" ht="15.75" customHeight="1">
      <c r="F960" s="1"/>
      <c r="G960" s="1"/>
    </row>
    <row r="961" spans="6:7" ht="15.75" customHeight="1">
      <c r="F961" s="1"/>
      <c r="G961" s="1"/>
    </row>
    <row r="962" spans="6:7" ht="15.75" customHeight="1">
      <c r="F962" s="1"/>
      <c r="G962" s="1"/>
    </row>
    <row r="963" spans="6:7" ht="15.75" customHeight="1">
      <c r="F963" s="1"/>
      <c r="G963" s="1"/>
    </row>
    <row r="964" spans="6:7" ht="15.75" customHeight="1">
      <c r="F964" s="1"/>
      <c r="G964" s="1"/>
    </row>
    <row r="965" spans="6:7" ht="15.75" customHeight="1">
      <c r="F965" s="1"/>
      <c r="G965" s="1"/>
    </row>
    <row r="966" spans="6:7" ht="15.75" customHeight="1">
      <c r="F966" s="1"/>
      <c r="G966" s="1"/>
    </row>
    <row r="967" spans="6:7" ht="15.75" customHeight="1">
      <c r="F967" s="1"/>
      <c r="G967" s="1"/>
    </row>
    <row r="968" spans="6:7" ht="15.75" customHeight="1">
      <c r="F968" s="1"/>
      <c r="G968" s="1"/>
    </row>
    <row r="969" spans="6:7" ht="15.75" customHeight="1">
      <c r="F969" s="1"/>
      <c r="G969" s="1"/>
    </row>
    <row r="970" spans="6:7" ht="15.75" customHeight="1">
      <c r="F970" s="1"/>
      <c r="G970" s="1"/>
    </row>
    <row r="971" spans="6:7" ht="15.75" customHeight="1">
      <c r="F971" s="1"/>
      <c r="G971" s="1"/>
    </row>
    <row r="972" spans="6:7" ht="15.75" customHeight="1">
      <c r="F972" s="1"/>
      <c r="G972" s="1"/>
    </row>
    <row r="973" spans="6:7" ht="15.75" customHeight="1">
      <c r="F973" s="1"/>
      <c r="G973" s="1"/>
    </row>
    <row r="974" spans="6:7" ht="15.75" customHeight="1">
      <c r="F974" s="1"/>
      <c r="G974" s="1"/>
    </row>
    <row r="975" spans="6:7" ht="15.75" customHeight="1">
      <c r="F975" s="1"/>
      <c r="G975" s="1"/>
    </row>
    <row r="976" spans="6:7" ht="15.75" customHeight="1">
      <c r="F976" s="1"/>
      <c r="G976" s="1"/>
    </row>
    <row r="977" spans="6:7" ht="15.75" customHeight="1">
      <c r="F977" s="1"/>
      <c r="G977" s="1"/>
    </row>
    <row r="978" spans="6:7" ht="15.75" customHeight="1">
      <c r="F978" s="1"/>
      <c r="G978" s="1"/>
    </row>
    <row r="979" spans="6:7" ht="15.75" customHeight="1">
      <c r="F979" s="1"/>
      <c r="G979" s="1"/>
    </row>
    <row r="980" spans="6:7" ht="15.75" customHeight="1">
      <c r="F980" s="1"/>
      <c r="G980" s="1"/>
    </row>
    <row r="981" spans="6:7" ht="15.75" customHeight="1">
      <c r="F981" s="1"/>
      <c r="G981" s="1"/>
    </row>
    <row r="982" spans="6:7" ht="15.75" customHeight="1">
      <c r="F982" s="1"/>
      <c r="G982" s="1"/>
    </row>
    <row r="983" spans="6:7" ht="15.75" customHeight="1">
      <c r="F983" s="1"/>
      <c r="G983" s="1"/>
    </row>
    <row r="984" spans="6:7" ht="15.75" customHeight="1">
      <c r="F984" s="1"/>
      <c r="G984" s="1"/>
    </row>
    <row r="985" spans="6:7" ht="15.75" customHeight="1">
      <c r="F985" s="1"/>
      <c r="G985" s="1"/>
    </row>
    <row r="986" spans="6:7" ht="15" customHeight="1">
      <c r="F986" s="1"/>
      <c r="G986" s="1"/>
    </row>
  </sheetData>
  <mergeCells count="1">
    <mergeCell ref="B1:G1"/>
  </mergeCells>
  <pageMargins left="0.23622047244094488" right="0.23622047244094488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927"/>
  <sheetViews>
    <sheetView showGridLines="0" zoomScale="145" zoomScaleNormal="145" workbookViewId="0">
      <selection activeCell="H31" sqref="H31"/>
    </sheetView>
  </sheetViews>
  <sheetFormatPr defaultColWidth="12.5546875" defaultRowHeight="15" customHeight="1"/>
  <cols>
    <col min="1" max="1" width="3" customWidth="1"/>
    <col min="2" max="2" width="41.6640625" customWidth="1"/>
    <col min="3" max="7" width="14.6640625" customWidth="1"/>
    <col min="8" max="8" width="12.6640625" customWidth="1"/>
    <col min="9" max="26" width="8.5546875" customWidth="1"/>
  </cols>
  <sheetData>
    <row r="1" spans="2:7" ht="18.600000000000001" thickBot="1">
      <c r="B1" s="234" t="s">
        <v>91</v>
      </c>
      <c r="C1" s="234"/>
      <c r="D1" s="234"/>
      <c r="E1" s="234"/>
      <c r="F1" s="234"/>
      <c r="G1" s="234"/>
    </row>
    <row r="2" spans="2:7" ht="14.4">
      <c r="B2" s="35"/>
      <c r="C2" s="5" t="s">
        <v>0</v>
      </c>
      <c r="D2" s="7" t="s">
        <v>1</v>
      </c>
      <c r="E2" s="5" t="s">
        <v>0</v>
      </c>
      <c r="F2" s="7" t="s">
        <v>1</v>
      </c>
      <c r="G2" s="36" t="s">
        <v>2</v>
      </c>
    </row>
    <row r="3" spans="2:7" ht="14.4">
      <c r="B3" s="37"/>
      <c r="C3" s="9">
        <v>45747</v>
      </c>
      <c r="D3" s="107" t="s">
        <v>3</v>
      </c>
      <c r="E3" s="84" t="s">
        <v>4</v>
      </c>
      <c r="F3" s="107" t="s">
        <v>3</v>
      </c>
      <c r="G3" s="108" t="s">
        <v>5</v>
      </c>
    </row>
    <row r="4" spans="2:7" ht="14.4">
      <c r="B4" s="43" t="s">
        <v>6</v>
      </c>
      <c r="C4" s="46"/>
      <c r="D4" s="45"/>
      <c r="E4" s="12"/>
      <c r="F4" s="13"/>
      <c r="G4" s="28"/>
    </row>
    <row r="5" spans="2:7" ht="14.4">
      <c r="B5" s="42" t="s">
        <v>7</v>
      </c>
      <c r="C5" s="94">
        <v>70194.37</v>
      </c>
      <c r="D5" s="60">
        <f>(C5/C14)*100</f>
        <v>82.430356908623082</v>
      </c>
      <c r="E5" s="61">
        <v>61408.74</v>
      </c>
      <c r="F5" s="95">
        <f>(E5/E14)*100</f>
        <v>83.323098081751937</v>
      </c>
      <c r="G5" s="111">
        <f>((E5/C5)-1)*100</f>
        <v>-12.516146237939019</v>
      </c>
    </row>
    <row r="6" spans="2:7" ht="14.4">
      <c r="B6" s="42" t="s">
        <v>8</v>
      </c>
      <c r="C6" s="96">
        <v>0</v>
      </c>
      <c r="D6" s="60">
        <f>(C6/C14)*100</f>
        <v>0</v>
      </c>
      <c r="E6" s="61">
        <v>0</v>
      </c>
      <c r="F6" s="95">
        <f>(E6/E14)*100</f>
        <v>0</v>
      </c>
      <c r="G6" s="111">
        <v>0</v>
      </c>
    </row>
    <row r="7" spans="2:7" ht="15.75" customHeight="1">
      <c r="B7" s="43" t="s">
        <v>9</v>
      </c>
      <c r="C7" s="62">
        <f>SUM(C5:C6)</f>
        <v>70194.37</v>
      </c>
      <c r="D7" s="62">
        <f>(C7/C14)*100</f>
        <v>82.430356908623082</v>
      </c>
      <c r="E7" s="62">
        <f>SUM(E5:E6)</f>
        <v>61408.74</v>
      </c>
      <c r="F7" s="97">
        <f>(E7/E14)*100</f>
        <v>83.323098081751937</v>
      </c>
      <c r="G7" s="110">
        <f>((E7/C7)-1)*100</f>
        <v>-12.516146237939019</v>
      </c>
    </row>
    <row r="8" spans="2:7" ht="15.75" customHeight="1">
      <c r="B8" s="85" t="s">
        <v>10</v>
      </c>
      <c r="C8" s="61"/>
      <c r="D8" s="61"/>
      <c r="E8" s="61"/>
      <c r="F8" s="95"/>
      <c r="G8" s="98"/>
    </row>
    <row r="9" spans="2:7" ht="15.75" customHeight="1">
      <c r="B9" s="86" t="s">
        <v>11</v>
      </c>
      <c r="C9" s="99">
        <v>7260</v>
      </c>
      <c r="D9" s="92">
        <f>(C9/C14)*100</f>
        <v>8.5255326197329442</v>
      </c>
      <c r="E9" s="100">
        <v>6050</v>
      </c>
      <c r="F9" s="101">
        <f>(E9/E14)*100</f>
        <v>8.2090064605559281</v>
      </c>
      <c r="G9" s="103">
        <f t="shared" ref="G9:G11" si="0">((E9/C9)-1)*100</f>
        <v>-16.666666666666664</v>
      </c>
    </row>
    <row r="10" spans="2:7" ht="15.75" customHeight="1">
      <c r="B10" s="86" t="s">
        <v>12</v>
      </c>
      <c r="C10" s="157">
        <v>8298</v>
      </c>
      <c r="D10" s="92">
        <f>(C10/C14)*100</f>
        <v>9.7444724075129443</v>
      </c>
      <c r="E10" s="61">
        <v>6638.4</v>
      </c>
      <c r="F10" s="95">
        <f>(E10/E14)*100</f>
        <v>9.0073832211164415</v>
      </c>
      <c r="G10" s="103">
        <f t="shared" si="0"/>
        <v>-20.000000000000007</v>
      </c>
    </row>
    <row r="11" spans="2:7" ht="15.75" customHeight="1">
      <c r="B11" s="90" t="s">
        <v>13</v>
      </c>
      <c r="C11" s="254">
        <v>596.4</v>
      </c>
      <c r="D11" s="255">
        <f>(-C11/C14)*100</f>
        <v>-0.70036193586897078</v>
      </c>
      <c r="E11" s="256">
        <v>397.6</v>
      </c>
      <c r="F11" s="257">
        <f>(-E11/E14)*100</f>
        <v>-0.53948776342430371</v>
      </c>
      <c r="G11" s="111">
        <f t="shared" si="0"/>
        <v>-33.333333333333329</v>
      </c>
    </row>
    <row r="12" spans="2:7" ht="15.75" customHeight="1">
      <c r="B12" s="42" t="s">
        <v>14</v>
      </c>
      <c r="C12" s="158"/>
      <c r="D12" s="60"/>
      <c r="E12" s="61"/>
      <c r="F12" s="95"/>
      <c r="G12" s="103"/>
    </row>
    <row r="13" spans="2:7" ht="15.75" customHeight="1">
      <c r="B13" s="85" t="s">
        <v>15</v>
      </c>
      <c r="C13" s="104">
        <f>C9+C10-C11</f>
        <v>14961.6</v>
      </c>
      <c r="D13" s="63">
        <f>(C13/C14)*100</f>
        <v>17.569643091376914</v>
      </c>
      <c r="E13" s="62">
        <f>E9+E10-E11</f>
        <v>12290.8</v>
      </c>
      <c r="F13" s="97">
        <f>(E13/E14)*100</f>
        <v>16.676901918248067</v>
      </c>
      <c r="G13" s="102">
        <f t="shared" ref="G10:G14" si="1">((C13/E13)-1)*100</f>
        <v>21.730074527288721</v>
      </c>
    </row>
    <row r="14" spans="2:7" ht="15.75" customHeight="1" thickBot="1">
      <c r="B14" s="87" t="s">
        <v>16</v>
      </c>
      <c r="C14" s="105">
        <f>C7+C13</f>
        <v>85155.97</v>
      </c>
      <c r="D14" s="93">
        <v>1</v>
      </c>
      <c r="E14" s="105">
        <f>E7+E13</f>
        <v>73699.539999999994</v>
      </c>
      <c r="F14" s="106">
        <v>1</v>
      </c>
      <c r="G14" s="109">
        <f t="shared" si="1"/>
        <v>15.544778162794515</v>
      </c>
    </row>
    <row r="15" spans="2:7" ht="15.75" customHeight="1">
      <c r="B15" s="43" t="s">
        <v>17</v>
      </c>
      <c r="C15" s="15"/>
      <c r="D15" s="15"/>
      <c r="E15" s="15"/>
      <c r="F15" s="38"/>
      <c r="G15" s="28"/>
    </row>
    <row r="16" spans="2:7" ht="15.75" customHeight="1">
      <c r="B16" s="39" t="s">
        <v>18</v>
      </c>
      <c r="C16" s="157">
        <v>12688.41</v>
      </c>
      <c r="D16" s="112">
        <f>(C16/C35)*100</f>
        <v>14.900200185612352</v>
      </c>
      <c r="E16" s="113">
        <v>9818.82</v>
      </c>
      <c r="F16" s="114">
        <f>(E16/E35)*100</f>
        <v>13.322767913779662</v>
      </c>
      <c r="G16" s="111">
        <f t="shared" ref="G16:G35" si="2">((E16/C16)-1)*100</f>
        <v>-22.615836026736215</v>
      </c>
    </row>
    <row r="17" spans="2:9" ht="15.75" customHeight="1">
      <c r="B17" s="86" t="s">
        <v>19</v>
      </c>
      <c r="C17" s="157">
        <v>2482.8200000000002</v>
      </c>
      <c r="D17" s="115">
        <f>(C17/C35)*100</f>
        <v>2.9156147243698829</v>
      </c>
      <c r="E17" s="61">
        <v>0</v>
      </c>
      <c r="F17" s="95">
        <f>(E17/E35)*100</f>
        <v>0</v>
      </c>
      <c r="G17" s="111">
        <f t="shared" si="2"/>
        <v>-100</v>
      </c>
    </row>
    <row r="18" spans="2:9" ht="15.75" customHeight="1">
      <c r="B18" s="86" t="s">
        <v>20</v>
      </c>
      <c r="C18" s="157">
        <v>440.18</v>
      </c>
      <c r="D18" s="115">
        <f>(C18/C35)*100</f>
        <v>0.51691032349229304</v>
      </c>
      <c r="E18" s="61">
        <v>518.73</v>
      </c>
      <c r="F18" s="95">
        <f>(E18/E35)*100</f>
        <v>0.70384418900793833</v>
      </c>
      <c r="G18" s="111">
        <f t="shared" si="2"/>
        <v>17.844972511245395</v>
      </c>
    </row>
    <row r="19" spans="2:9" ht="15.75" customHeight="1">
      <c r="B19" s="86" t="s">
        <v>21</v>
      </c>
      <c r="C19" s="157">
        <v>611.36</v>
      </c>
      <c r="D19" s="115">
        <f>(C19/C35)*100</f>
        <v>0.71792970005508716</v>
      </c>
      <c r="E19" s="61">
        <v>720.45</v>
      </c>
      <c r="F19" s="95">
        <f>(E19/E35)*100</f>
        <v>0.97755006645223763</v>
      </c>
      <c r="G19" s="111">
        <f t="shared" si="2"/>
        <v>17.843823606385769</v>
      </c>
    </row>
    <row r="20" spans="2:9" ht="15.75" customHeight="1">
      <c r="B20" s="86" t="s">
        <v>22</v>
      </c>
      <c r="C20" s="116">
        <v>815.12</v>
      </c>
      <c r="D20" s="115">
        <f>(C20/C35)*100</f>
        <v>0.95720828498577371</v>
      </c>
      <c r="E20" s="61">
        <v>960.57</v>
      </c>
      <c r="F20" s="95">
        <f>(E20/E35)*100</f>
        <v>1.3033593827913468</v>
      </c>
      <c r="G20" s="111">
        <f t="shared" si="2"/>
        <v>17.843998429679075</v>
      </c>
    </row>
    <row r="21" spans="2:9" ht="15.75" customHeight="1">
      <c r="B21" s="86" t="s">
        <v>23</v>
      </c>
      <c r="C21" s="157">
        <v>344.65</v>
      </c>
      <c r="D21" s="115">
        <f>(C21/C35)*100</f>
        <v>0.4047279362797464</v>
      </c>
      <c r="E21" s="61">
        <v>595.55999999999995</v>
      </c>
      <c r="F21" s="95">
        <f>(E21/E35)*100</f>
        <v>0.80809177260919485</v>
      </c>
      <c r="G21" s="111">
        <f t="shared" si="2"/>
        <v>72.801392717249371</v>
      </c>
    </row>
    <row r="22" spans="2:9" ht="15.75" customHeight="1">
      <c r="B22" s="86" t="s">
        <v>24</v>
      </c>
      <c r="C22" s="157">
        <v>1546.09</v>
      </c>
      <c r="D22" s="115">
        <f>(C22/C35)*100</f>
        <v>1.8155978964246429</v>
      </c>
      <c r="E22" s="61">
        <v>1772.18</v>
      </c>
      <c r="F22" s="95">
        <f>(E22/E35)*100</f>
        <v>2.4046008422032425</v>
      </c>
      <c r="G22" s="111">
        <f t="shared" si="2"/>
        <v>14.623340167778087</v>
      </c>
    </row>
    <row r="23" spans="2:9" ht="15.75" customHeight="1">
      <c r="B23" s="86" t="s">
        <v>25</v>
      </c>
      <c r="C23" s="157">
        <v>3560</v>
      </c>
      <c r="D23" s="115">
        <f>(C23/C35)*100</f>
        <v>4.1805642047175313</v>
      </c>
      <c r="E23" s="61">
        <v>0</v>
      </c>
      <c r="F23" s="95">
        <f>(E23/E35)*100</f>
        <v>0</v>
      </c>
      <c r="G23" s="111">
        <f t="shared" si="2"/>
        <v>-100</v>
      </c>
    </row>
    <row r="24" spans="2:9" ht="15.75" customHeight="1">
      <c r="B24" s="86" t="s">
        <v>26</v>
      </c>
      <c r="C24" s="157">
        <v>870</v>
      </c>
      <c r="D24" s="115">
        <f>(C24/C35)*100</f>
        <v>1.0216547354225427</v>
      </c>
      <c r="E24" s="61">
        <v>870</v>
      </c>
      <c r="F24" s="95">
        <f>(E24/E35)*100</f>
        <v>1.1804685374605408</v>
      </c>
      <c r="G24" s="111">
        <f t="shared" si="2"/>
        <v>0</v>
      </c>
    </row>
    <row r="25" spans="2:9" ht="15.75" customHeight="1">
      <c r="B25" s="43" t="s">
        <v>27</v>
      </c>
      <c r="C25" s="117">
        <f>SUM(C16:C24)</f>
        <v>23358.63</v>
      </c>
      <c r="D25" s="118">
        <f>(C25/C35)*100</f>
        <v>27.430407991359857</v>
      </c>
      <c r="E25" s="62">
        <f>SUM(E16:E24)</f>
        <v>15256.31</v>
      </c>
      <c r="F25" s="97">
        <f>(E25/E35)*100</f>
        <v>20.700682704304164</v>
      </c>
      <c r="G25" s="110">
        <f t="shared" si="2"/>
        <v>-34.686623316521569</v>
      </c>
      <c r="H25" s="41"/>
    </row>
    <row r="26" spans="2:9" ht="15.75" customHeight="1">
      <c r="B26" s="43" t="s">
        <v>28</v>
      </c>
      <c r="C26" s="119"/>
      <c r="D26" s="95"/>
      <c r="E26" s="61"/>
      <c r="F26" s="95"/>
      <c r="G26" s="120"/>
    </row>
    <row r="27" spans="2:9" ht="15.75" customHeight="1">
      <c r="B27" s="42" t="s">
        <v>29</v>
      </c>
      <c r="C27" s="116">
        <v>0</v>
      </c>
      <c r="D27" s="115">
        <v>0</v>
      </c>
      <c r="E27" s="61">
        <v>0</v>
      </c>
      <c r="F27" s="95">
        <v>0</v>
      </c>
      <c r="G27" s="103">
        <v>0</v>
      </c>
    </row>
    <row r="28" spans="2:9" ht="15.75" customHeight="1">
      <c r="B28" s="42" t="s">
        <v>30</v>
      </c>
      <c r="C28" s="157">
        <v>0</v>
      </c>
      <c r="D28" s="115">
        <f>(C28/C35)*100</f>
        <v>0</v>
      </c>
      <c r="E28" s="61">
        <v>0</v>
      </c>
      <c r="F28" s="95">
        <f>(E28/E35)*100</f>
        <v>0</v>
      </c>
      <c r="G28" s="103">
        <v>0</v>
      </c>
    </row>
    <row r="29" spans="2:9" ht="15.75" customHeight="1">
      <c r="B29" s="43" t="s">
        <v>31</v>
      </c>
      <c r="C29" s="117">
        <f>SUM(C27:C28)</f>
        <v>0</v>
      </c>
      <c r="D29" s="118">
        <f>(C29/C35)*100</f>
        <v>0</v>
      </c>
      <c r="E29" s="62">
        <f>SUM(E27:E28)</f>
        <v>0</v>
      </c>
      <c r="F29" s="97">
        <f>(E29/E35)*100</f>
        <v>0</v>
      </c>
      <c r="G29" s="120">
        <v>0</v>
      </c>
    </row>
    <row r="30" spans="2:9" ht="15.75" customHeight="1">
      <c r="B30" s="43" t="s">
        <v>32</v>
      </c>
      <c r="C30" s="117">
        <f>C25+C29</f>
        <v>23358.63</v>
      </c>
      <c r="D30" s="118">
        <f>(C30/C35)*100</f>
        <v>27.430407991359857</v>
      </c>
      <c r="E30" s="62">
        <f>E25+E29</f>
        <v>15256.31</v>
      </c>
      <c r="F30" s="97">
        <f>(E30/E35)*100</f>
        <v>20.700682704304164</v>
      </c>
      <c r="G30" s="120">
        <f t="shared" si="2"/>
        <v>-34.686623316521569</v>
      </c>
      <c r="I30" s="2"/>
    </row>
    <row r="31" spans="2:9" ht="15.75" customHeight="1">
      <c r="B31" s="43" t="s">
        <v>33</v>
      </c>
      <c r="C31" s="121"/>
      <c r="D31" s="95"/>
      <c r="E31" s="61"/>
      <c r="F31" s="95"/>
      <c r="G31" s="120"/>
    </row>
    <row r="32" spans="2:9" ht="15.75" customHeight="1">
      <c r="B32" s="42" t="s">
        <v>34</v>
      </c>
      <c r="C32" s="157">
        <v>70000</v>
      </c>
      <c r="D32" s="115">
        <f>(C32/C35)*100</f>
        <v>82.202105148940234</v>
      </c>
      <c r="E32" s="61">
        <v>57828.46</v>
      </c>
      <c r="F32" s="95">
        <f>(E32/E35)*100</f>
        <v>78.46514666643148</v>
      </c>
      <c r="G32" s="103">
        <f t="shared" si="2"/>
        <v>-17.387914285714288</v>
      </c>
    </row>
    <row r="33" spans="2:10" ht="15.75" customHeight="1">
      <c r="B33" s="86" t="s">
        <v>35</v>
      </c>
      <c r="C33" s="254">
        <v>8202.66</v>
      </c>
      <c r="D33" s="258">
        <f>(C33/C35)*100</f>
        <v>9.6325131403000857</v>
      </c>
      <c r="E33" s="61">
        <v>614.78</v>
      </c>
      <c r="F33" s="95">
        <f>(E33/E35)*100</f>
        <v>0.8341706292643577</v>
      </c>
      <c r="G33" s="111">
        <f t="shared" si="2"/>
        <v>-92.50511419466369</v>
      </c>
    </row>
    <row r="34" spans="2:10" ht="15.75" customHeight="1">
      <c r="B34" s="43" t="s">
        <v>36</v>
      </c>
      <c r="C34" s="122">
        <f>C32-C33</f>
        <v>61797.34</v>
      </c>
      <c r="D34" s="97">
        <f>(C34/C35)*100</f>
        <v>72.569592008640143</v>
      </c>
      <c r="E34" s="62">
        <f>SUM(E32:E33)</f>
        <v>58443.24</v>
      </c>
      <c r="F34" s="97">
        <f>(E34/E35)*100</f>
        <v>79.299317295695829</v>
      </c>
      <c r="G34" s="110">
        <f t="shared" si="2"/>
        <v>-5.4275798925973113</v>
      </c>
      <c r="H34" s="3"/>
      <c r="I34" s="2"/>
      <c r="J34" s="2"/>
    </row>
    <row r="35" spans="2:10" ht="15.75" customHeight="1">
      <c r="B35" s="40" t="s">
        <v>37</v>
      </c>
      <c r="C35" s="105">
        <f>C30+C34</f>
        <v>85155.97</v>
      </c>
      <c r="D35" s="93">
        <v>1</v>
      </c>
      <c r="E35" s="105">
        <f>E30+E34</f>
        <v>73699.55</v>
      </c>
      <c r="F35" s="106">
        <v>1</v>
      </c>
      <c r="G35" s="110">
        <f t="shared" si="2"/>
        <v>-13.453454878148886</v>
      </c>
      <c r="H35" s="3"/>
    </row>
    <row r="36" spans="2:10" ht="15.75" customHeight="1">
      <c r="F36" s="1"/>
      <c r="G36" s="1"/>
    </row>
    <row r="37" spans="2:10" ht="15.75" customHeight="1">
      <c r="F37" s="1"/>
      <c r="G37" s="1"/>
    </row>
    <row r="38" spans="2:10" ht="15.75" customHeight="1">
      <c r="F38" s="1"/>
      <c r="G38" s="1"/>
    </row>
    <row r="39" spans="2:10" ht="15.75" customHeight="1">
      <c r="F39" s="1"/>
      <c r="G39" s="1"/>
    </row>
    <row r="40" spans="2:10" ht="15.75" customHeight="1">
      <c r="F40" s="1"/>
      <c r="G40" s="1"/>
    </row>
    <row r="41" spans="2:10" ht="15.75" customHeight="1">
      <c r="F41" s="1"/>
      <c r="G41" s="1"/>
    </row>
    <row r="42" spans="2:10" ht="15.75" customHeight="1">
      <c r="F42" s="1"/>
      <c r="G42" s="1"/>
    </row>
    <row r="43" spans="2:10" ht="15.75" customHeight="1">
      <c r="F43" s="1"/>
      <c r="G43" s="1"/>
    </row>
    <row r="44" spans="2:10" ht="15.75" customHeight="1">
      <c r="F44" s="1"/>
      <c r="G44" s="1"/>
    </row>
    <row r="45" spans="2:10" ht="15.75" customHeight="1">
      <c r="F45" s="1"/>
      <c r="G45" s="1"/>
    </row>
    <row r="46" spans="2:10" ht="15.75" customHeight="1">
      <c r="F46" s="1"/>
      <c r="G46" s="1"/>
    </row>
    <row r="47" spans="2:10" ht="15.75" customHeight="1">
      <c r="F47" s="1"/>
      <c r="G47" s="1"/>
    </row>
    <row r="48" spans="2:10" ht="15.75" customHeight="1">
      <c r="F48" s="1"/>
      <c r="G48" s="1"/>
    </row>
    <row r="49" spans="6:7" ht="15.75" customHeight="1">
      <c r="F49" s="1"/>
      <c r="G49" s="1"/>
    </row>
    <row r="50" spans="6:7" ht="15.75" customHeight="1">
      <c r="F50" s="1"/>
      <c r="G50" s="1"/>
    </row>
    <row r="51" spans="6:7" ht="15.75" customHeight="1">
      <c r="F51" s="1"/>
      <c r="G51" s="1"/>
    </row>
    <row r="52" spans="6:7" ht="15.75" customHeight="1">
      <c r="F52" s="1"/>
      <c r="G52" s="1"/>
    </row>
    <row r="53" spans="6:7" ht="15.75" customHeight="1">
      <c r="F53" s="1"/>
      <c r="G53" s="1"/>
    </row>
    <row r="54" spans="6:7" ht="15.75" customHeight="1">
      <c r="F54" s="1"/>
      <c r="G54" s="1"/>
    </row>
    <row r="55" spans="6:7" ht="15.75" customHeight="1">
      <c r="F55" s="1"/>
      <c r="G55" s="1"/>
    </row>
    <row r="56" spans="6:7" ht="15.75" customHeight="1">
      <c r="F56" s="1"/>
      <c r="G56" s="1"/>
    </row>
    <row r="57" spans="6:7" ht="15.75" customHeight="1">
      <c r="F57" s="1"/>
      <c r="G57" s="1"/>
    </row>
    <row r="58" spans="6:7" ht="15.75" customHeight="1">
      <c r="F58" s="1"/>
      <c r="G58" s="1"/>
    </row>
    <row r="59" spans="6:7" ht="15.75" customHeight="1">
      <c r="F59" s="1"/>
      <c r="G59" s="1"/>
    </row>
    <row r="60" spans="6:7" ht="15.75" customHeight="1">
      <c r="F60" s="1"/>
      <c r="G60" s="1"/>
    </row>
    <row r="61" spans="6:7" ht="15.75" customHeight="1">
      <c r="F61" s="1"/>
      <c r="G61" s="1"/>
    </row>
    <row r="62" spans="6:7" ht="15.75" customHeight="1">
      <c r="F62" s="1"/>
      <c r="G62" s="1"/>
    </row>
    <row r="63" spans="6:7" ht="15.75" customHeight="1">
      <c r="F63" s="1"/>
      <c r="G63" s="1"/>
    </row>
    <row r="64" spans="6:7" ht="15.75" customHeight="1">
      <c r="F64" s="1"/>
      <c r="G64" s="1"/>
    </row>
    <row r="65" spans="6:7" ht="15.75" customHeight="1">
      <c r="F65" s="1"/>
      <c r="G65" s="1"/>
    </row>
    <row r="66" spans="6:7" ht="15.75" customHeight="1">
      <c r="F66" s="1"/>
      <c r="G66" s="1"/>
    </row>
    <row r="67" spans="6:7" ht="15.75" customHeight="1">
      <c r="F67" s="1"/>
      <c r="G67" s="1"/>
    </row>
    <row r="68" spans="6:7" ht="15.75" customHeight="1">
      <c r="F68" s="1"/>
      <c r="G68" s="1"/>
    </row>
    <row r="69" spans="6:7" ht="15.75" customHeight="1">
      <c r="F69" s="1"/>
      <c r="G69" s="1"/>
    </row>
    <row r="70" spans="6:7" ht="15.75" customHeight="1">
      <c r="F70" s="1"/>
      <c r="G70" s="1"/>
    </row>
    <row r="71" spans="6:7" ht="15.75" customHeight="1">
      <c r="F71" s="1"/>
      <c r="G71" s="1"/>
    </row>
    <row r="72" spans="6:7" ht="15.75" customHeight="1">
      <c r="F72" s="1"/>
      <c r="G72" s="1"/>
    </row>
    <row r="73" spans="6:7" ht="15.75" customHeight="1">
      <c r="F73" s="1"/>
      <c r="G73" s="1"/>
    </row>
    <row r="74" spans="6:7" ht="15.75" customHeight="1">
      <c r="F74" s="1"/>
      <c r="G74" s="1"/>
    </row>
    <row r="75" spans="6:7" ht="15.75" customHeight="1">
      <c r="F75" s="1"/>
      <c r="G75" s="1"/>
    </row>
    <row r="76" spans="6:7" ht="15.75" customHeight="1">
      <c r="F76" s="1"/>
      <c r="G76" s="1"/>
    </row>
    <row r="77" spans="6:7" ht="15.75" customHeight="1">
      <c r="F77" s="1"/>
      <c r="G77" s="1"/>
    </row>
    <row r="78" spans="6:7" ht="15.75" customHeight="1">
      <c r="F78" s="1"/>
      <c r="G78" s="1"/>
    </row>
    <row r="79" spans="6:7" ht="15.75" customHeight="1">
      <c r="F79" s="1"/>
      <c r="G79" s="1"/>
    </row>
    <row r="80" spans="6:7" ht="15.75" customHeight="1">
      <c r="F80" s="1"/>
      <c r="G80" s="1"/>
    </row>
    <row r="81" spans="6:7" ht="15.75" customHeight="1">
      <c r="F81" s="1"/>
      <c r="G81" s="1"/>
    </row>
    <row r="82" spans="6:7" ht="15.75" customHeight="1">
      <c r="F82" s="1"/>
      <c r="G82" s="1"/>
    </row>
    <row r="83" spans="6:7" ht="15.75" customHeight="1">
      <c r="F83" s="1"/>
      <c r="G83" s="1"/>
    </row>
    <row r="84" spans="6:7" ht="15.75" customHeight="1">
      <c r="F84" s="1"/>
      <c r="G84" s="1"/>
    </row>
    <row r="85" spans="6:7" ht="15.75" customHeight="1">
      <c r="F85" s="1"/>
      <c r="G85" s="1"/>
    </row>
    <row r="86" spans="6:7" ht="15.75" customHeight="1">
      <c r="F86" s="1"/>
      <c r="G86" s="1"/>
    </row>
    <row r="87" spans="6:7" ht="15.75" customHeight="1">
      <c r="F87" s="1"/>
      <c r="G87" s="1"/>
    </row>
    <row r="88" spans="6:7" ht="15.75" customHeight="1">
      <c r="F88" s="1"/>
      <c r="G88" s="1"/>
    </row>
    <row r="89" spans="6:7" ht="15.75" customHeight="1">
      <c r="F89" s="1"/>
      <c r="G89" s="1"/>
    </row>
    <row r="90" spans="6:7" ht="15.75" customHeight="1">
      <c r="F90" s="1"/>
      <c r="G90" s="1"/>
    </row>
    <row r="91" spans="6:7" ht="15.75" customHeight="1">
      <c r="F91" s="1"/>
      <c r="G91" s="1"/>
    </row>
    <row r="92" spans="6:7" ht="15.75" customHeight="1">
      <c r="F92" s="1"/>
      <c r="G92" s="1"/>
    </row>
    <row r="93" spans="6:7" ht="15.75" customHeight="1">
      <c r="F93" s="1"/>
      <c r="G93" s="1"/>
    </row>
    <row r="94" spans="6:7" ht="15.75" customHeight="1">
      <c r="F94" s="1"/>
      <c r="G94" s="1"/>
    </row>
    <row r="95" spans="6:7" ht="15.75" customHeight="1">
      <c r="F95" s="1"/>
      <c r="G95" s="1"/>
    </row>
    <row r="96" spans="6:7" ht="15.75" customHeight="1">
      <c r="F96" s="1"/>
      <c r="G96" s="1"/>
    </row>
    <row r="97" spans="6:7" ht="15.75" customHeight="1">
      <c r="F97" s="1"/>
      <c r="G97" s="1"/>
    </row>
    <row r="98" spans="6:7" ht="15.75" customHeight="1">
      <c r="F98" s="1"/>
      <c r="G98" s="1"/>
    </row>
    <row r="99" spans="6:7" ht="15.75" customHeight="1">
      <c r="F99" s="1"/>
      <c r="G99" s="1"/>
    </row>
    <row r="100" spans="6:7" ht="15.75" customHeight="1">
      <c r="F100" s="1"/>
      <c r="G100" s="1"/>
    </row>
    <row r="101" spans="6:7" ht="15.75" customHeight="1">
      <c r="F101" s="1"/>
      <c r="G101" s="1"/>
    </row>
    <row r="102" spans="6:7" ht="15.75" customHeight="1">
      <c r="F102" s="1"/>
      <c r="G102" s="1"/>
    </row>
    <row r="103" spans="6:7" ht="15.75" customHeight="1">
      <c r="F103" s="1"/>
      <c r="G103" s="1"/>
    </row>
    <row r="104" spans="6:7" ht="15.75" customHeight="1">
      <c r="F104" s="1"/>
      <c r="G104" s="1"/>
    </row>
    <row r="105" spans="6:7" ht="15.75" customHeight="1">
      <c r="F105" s="1"/>
      <c r="G105" s="1"/>
    </row>
    <row r="106" spans="6:7" ht="15.75" customHeight="1">
      <c r="F106" s="1"/>
      <c r="G106" s="1"/>
    </row>
    <row r="107" spans="6:7" ht="15.75" customHeight="1">
      <c r="F107" s="1"/>
      <c r="G107" s="1"/>
    </row>
    <row r="108" spans="6:7" ht="15.75" customHeight="1">
      <c r="F108" s="1"/>
      <c r="G108" s="1"/>
    </row>
    <row r="109" spans="6:7" ht="15.75" customHeight="1">
      <c r="F109" s="1"/>
      <c r="G109" s="1"/>
    </row>
    <row r="110" spans="6:7" ht="15.75" customHeight="1">
      <c r="F110" s="1"/>
      <c r="G110" s="1"/>
    </row>
    <row r="111" spans="6:7" ht="15.75" customHeight="1">
      <c r="F111" s="1"/>
      <c r="G111" s="1"/>
    </row>
    <row r="112" spans="6:7" ht="15.75" customHeight="1">
      <c r="F112" s="1"/>
      <c r="G112" s="1"/>
    </row>
    <row r="113" spans="6:7" ht="15.75" customHeight="1">
      <c r="F113" s="1"/>
      <c r="G113" s="1"/>
    </row>
    <row r="114" spans="6:7" ht="15.75" customHeight="1">
      <c r="F114" s="1"/>
      <c r="G114" s="1"/>
    </row>
    <row r="115" spans="6:7" ht="15.75" customHeight="1">
      <c r="F115" s="1"/>
      <c r="G115" s="1"/>
    </row>
    <row r="116" spans="6:7" ht="15.75" customHeight="1">
      <c r="F116" s="1"/>
      <c r="G116" s="1"/>
    </row>
    <row r="117" spans="6:7" ht="15.75" customHeight="1">
      <c r="F117" s="1"/>
      <c r="G117" s="1"/>
    </row>
    <row r="118" spans="6:7" ht="15.75" customHeight="1">
      <c r="F118" s="1"/>
      <c r="G118" s="1"/>
    </row>
    <row r="119" spans="6:7" ht="15.75" customHeight="1">
      <c r="F119" s="1"/>
      <c r="G119" s="1"/>
    </row>
    <row r="120" spans="6:7" ht="15.75" customHeight="1">
      <c r="F120" s="1"/>
      <c r="G120" s="1"/>
    </row>
    <row r="121" spans="6:7" ht="15.75" customHeight="1">
      <c r="F121" s="1"/>
      <c r="G121" s="1"/>
    </row>
    <row r="122" spans="6:7" ht="15.75" customHeight="1">
      <c r="F122" s="1"/>
      <c r="G122" s="1"/>
    </row>
    <row r="123" spans="6:7" ht="15.75" customHeight="1">
      <c r="F123" s="1"/>
      <c r="G123" s="1"/>
    </row>
    <row r="124" spans="6:7" ht="15.75" customHeight="1">
      <c r="F124" s="1"/>
      <c r="G124" s="1"/>
    </row>
    <row r="125" spans="6:7" ht="15.75" customHeight="1">
      <c r="F125" s="1"/>
      <c r="G125" s="1"/>
    </row>
    <row r="126" spans="6:7" ht="15.75" customHeight="1">
      <c r="F126" s="1"/>
      <c r="G126" s="1"/>
    </row>
    <row r="127" spans="6:7" ht="15.75" customHeight="1">
      <c r="F127" s="1"/>
      <c r="G127" s="1"/>
    </row>
    <row r="128" spans="6:7" ht="15.75" customHeight="1">
      <c r="F128" s="1"/>
      <c r="G128" s="1"/>
    </row>
    <row r="129" spans="6:7" ht="15.75" customHeight="1">
      <c r="F129" s="1"/>
      <c r="G129" s="1"/>
    </row>
    <row r="130" spans="6:7" ht="15.75" customHeight="1">
      <c r="F130" s="1"/>
      <c r="G130" s="1"/>
    </row>
    <row r="131" spans="6:7" ht="15.75" customHeight="1">
      <c r="F131" s="1"/>
      <c r="G131" s="1"/>
    </row>
    <row r="132" spans="6:7" ht="15.75" customHeight="1">
      <c r="F132" s="1"/>
      <c r="G132" s="1"/>
    </row>
    <row r="133" spans="6:7" ht="15.75" customHeight="1">
      <c r="F133" s="1"/>
      <c r="G133" s="1"/>
    </row>
    <row r="134" spans="6:7" ht="15.75" customHeight="1">
      <c r="F134" s="1"/>
      <c r="G134" s="1"/>
    </row>
    <row r="135" spans="6:7" ht="15.75" customHeight="1">
      <c r="F135" s="1"/>
      <c r="G135" s="1"/>
    </row>
    <row r="136" spans="6:7" ht="15.75" customHeight="1">
      <c r="F136" s="1"/>
      <c r="G136" s="1"/>
    </row>
    <row r="137" spans="6:7" ht="15.75" customHeight="1">
      <c r="F137" s="1"/>
      <c r="G137" s="1"/>
    </row>
    <row r="138" spans="6:7" ht="15.75" customHeight="1">
      <c r="F138" s="1"/>
      <c r="G138" s="1"/>
    </row>
    <row r="139" spans="6:7" ht="15.75" customHeight="1">
      <c r="F139" s="1"/>
      <c r="G139" s="1"/>
    </row>
    <row r="140" spans="6:7" ht="15.75" customHeight="1">
      <c r="F140" s="1"/>
      <c r="G140" s="1"/>
    </row>
    <row r="141" spans="6:7" ht="15.75" customHeight="1">
      <c r="F141" s="1"/>
      <c r="G141" s="1"/>
    </row>
    <row r="142" spans="6:7" ht="15.75" customHeight="1">
      <c r="F142" s="1"/>
      <c r="G142" s="1"/>
    </row>
    <row r="143" spans="6:7" ht="15.75" customHeight="1">
      <c r="F143" s="1"/>
      <c r="G143" s="1"/>
    </row>
    <row r="144" spans="6:7" ht="15.75" customHeight="1">
      <c r="F144" s="1"/>
      <c r="G144" s="1"/>
    </row>
    <row r="145" spans="6:7" ht="15.75" customHeight="1">
      <c r="F145" s="1"/>
      <c r="G145" s="1"/>
    </row>
    <row r="146" spans="6:7" ht="15.75" customHeight="1">
      <c r="F146" s="1"/>
      <c r="G146" s="1"/>
    </row>
    <row r="147" spans="6:7" ht="15.75" customHeight="1">
      <c r="F147" s="1"/>
      <c r="G147" s="1"/>
    </row>
    <row r="148" spans="6:7" ht="15.75" customHeight="1">
      <c r="F148" s="1"/>
      <c r="G148" s="1"/>
    </row>
    <row r="149" spans="6:7" ht="15.75" customHeight="1">
      <c r="F149" s="1"/>
      <c r="G149" s="1"/>
    </row>
    <row r="150" spans="6:7" ht="15.75" customHeight="1">
      <c r="F150" s="1"/>
      <c r="G150" s="1"/>
    </row>
    <row r="151" spans="6:7" ht="15.75" customHeight="1">
      <c r="F151" s="1"/>
      <c r="G151" s="1"/>
    </row>
    <row r="152" spans="6:7" ht="15.75" customHeight="1">
      <c r="F152" s="1"/>
      <c r="G152" s="1"/>
    </row>
    <row r="153" spans="6:7" ht="15.75" customHeight="1">
      <c r="F153" s="1"/>
      <c r="G153" s="1"/>
    </row>
    <row r="154" spans="6:7" ht="15.75" customHeight="1">
      <c r="F154" s="1"/>
      <c r="G154" s="1"/>
    </row>
    <row r="155" spans="6:7" ht="15.75" customHeight="1">
      <c r="F155" s="1"/>
      <c r="G155" s="1"/>
    </row>
    <row r="156" spans="6:7" ht="15.75" customHeight="1">
      <c r="F156" s="1"/>
      <c r="G156" s="1"/>
    </row>
    <row r="157" spans="6:7" ht="15.75" customHeight="1">
      <c r="F157" s="1"/>
      <c r="G157" s="1"/>
    </row>
    <row r="158" spans="6:7" ht="15.75" customHeight="1">
      <c r="F158" s="1"/>
      <c r="G158" s="1"/>
    </row>
    <row r="159" spans="6:7" ht="15.75" customHeight="1">
      <c r="F159" s="1"/>
      <c r="G159" s="1"/>
    </row>
    <row r="160" spans="6:7" ht="15.75" customHeight="1">
      <c r="F160" s="1"/>
      <c r="G160" s="1"/>
    </row>
    <row r="161" spans="6:7" ht="15.75" customHeight="1">
      <c r="F161" s="1"/>
      <c r="G161" s="1"/>
    </row>
    <row r="162" spans="6:7" ht="15.75" customHeight="1">
      <c r="F162" s="1"/>
      <c r="G162" s="1"/>
    </row>
    <row r="163" spans="6:7" ht="15.75" customHeight="1">
      <c r="F163" s="1"/>
      <c r="G163" s="1"/>
    </row>
    <row r="164" spans="6:7" ht="15.75" customHeight="1">
      <c r="F164" s="1"/>
      <c r="G164" s="1"/>
    </row>
    <row r="165" spans="6:7" ht="15.75" customHeight="1">
      <c r="F165" s="1"/>
      <c r="G165" s="1"/>
    </row>
    <row r="166" spans="6:7" ht="15.75" customHeight="1">
      <c r="F166" s="1"/>
      <c r="G166" s="1"/>
    </row>
    <row r="167" spans="6:7" ht="15.75" customHeight="1">
      <c r="F167" s="1"/>
      <c r="G167" s="1"/>
    </row>
    <row r="168" spans="6:7" ht="15.75" customHeight="1">
      <c r="F168" s="1"/>
      <c r="G168" s="1"/>
    </row>
    <row r="169" spans="6:7" ht="15.75" customHeight="1">
      <c r="F169" s="1"/>
      <c r="G169" s="1"/>
    </row>
    <row r="170" spans="6:7" ht="15.75" customHeight="1">
      <c r="F170" s="1"/>
      <c r="G170" s="1"/>
    </row>
    <row r="171" spans="6:7" ht="15.75" customHeight="1">
      <c r="F171" s="1"/>
      <c r="G171" s="1"/>
    </row>
    <row r="172" spans="6:7" ht="15.75" customHeight="1">
      <c r="F172" s="1"/>
      <c r="G172" s="1"/>
    </row>
    <row r="173" spans="6:7" ht="15.75" customHeight="1">
      <c r="F173" s="1"/>
      <c r="G173" s="1"/>
    </row>
    <row r="174" spans="6:7" ht="15.75" customHeight="1">
      <c r="F174" s="1"/>
      <c r="G174" s="1"/>
    </row>
    <row r="175" spans="6:7" ht="15.75" customHeight="1">
      <c r="F175" s="1"/>
      <c r="G175" s="1"/>
    </row>
    <row r="176" spans="6:7" ht="15.75" customHeight="1">
      <c r="F176" s="1"/>
      <c r="G176" s="1"/>
    </row>
    <row r="177" spans="6:7" ht="15.75" customHeight="1">
      <c r="F177" s="1"/>
      <c r="G177" s="1"/>
    </row>
    <row r="178" spans="6:7" ht="15.75" customHeight="1">
      <c r="F178" s="1"/>
      <c r="G178" s="1"/>
    </row>
    <row r="179" spans="6:7" ht="15.75" customHeight="1">
      <c r="F179" s="1"/>
      <c r="G179" s="1"/>
    </row>
    <row r="180" spans="6:7" ht="15.75" customHeight="1">
      <c r="F180" s="1"/>
      <c r="G180" s="1"/>
    </row>
    <row r="181" spans="6:7" ht="15.75" customHeight="1">
      <c r="F181" s="1"/>
      <c r="G181" s="1"/>
    </row>
    <row r="182" spans="6:7" ht="15.75" customHeight="1">
      <c r="F182" s="1"/>
      <c r="G182" s="1"/>
    </row>
    <row r="183" spans="6:7" ht="15.75" customHeight="1">
      <c r="F183" s="1"/>
      <c r="G183" s="1"/>
    </row>
    <row r="184" spans="6:7" ht="15.75" customHeight="1">
      <c r="F184" s="1"/>
      <c r="G184" s="1"/>
    </row>
    <row r="185" spans="6:7" ht="15.75" customHeight="1">
      <c r="F185" s="1"/>
      <c r="G185" s="1"/>
    </row>
    <row r="186" spans="6:7" ht="15.75" customHeight="1">
      <c r="F186" s="1"/>
      <c r="G186" s="1"/>
    </row>
    <row r="187" spans="6:7" ht="15.75" customHeight="1">
      <c r="F187" s="1"/>
      <c r="G187" s="1"/>
    </row>
    <row r="188" spans="6:7" ht="15.75" customHeight="1">
      <c r="F188" s="1"/>
      <c r="G188" s="1"/>
    </row>
    <row r="189" spans="6:7" ht="15.75" customHeight="1">
      <c r="F189" s="1"/>
      <c r="G189" s="1"/>
    </row>
    <row r="190" spans="6:7" ht="15.75" customHeight="1">
      <c r="F190" s="1"/>
      <c r="G190" s="1"/>
    </row>
    <row r="191" spans="6:7" ht="15.75" customHeight="1">
      <c r="F191" s="1"/>
      <c r="G191" s="1"/>
    </row>
    <row r="192" spans="6:7" ht="15.75" customHeight="1">
      <c r="F192" s="1"/>
      <c r="G192" s="1"/>
    </row>
    <row r="193" spans="6:7" ht="15.75" customHeight="1">
      <c r="F193" s="1"/>
      <c r="G193" s="1"/>
    </row>
    <row r="194" spans="6:7" ht="15.75" customHeight="1">
      <c r="F194" s="1"/>
      <c r="G194" s="1"/>
    </row>
    <row r="195" spans="6:7" ht="15.75" customHeight="1">
      <c r="F195" s="1"/>
      <c r="G195" s="1"/>
    </row>
    <row r="196" spans="6:7" ht="15.75" customHeight="1">
      <c r="F196" s="1"/>
      <c r="G196" s="1"/>
    </row>
    <row r="197" spans="6:7" ht="15.75" customHeight="1">
      <c r="F197" s="1"/>
      <c r="G197" s="1"/>
    </row>
    <row r="198" spans="6:7" ht="15.75" customHeight="1">
      <c r="F198" s="1"/>
      <c r="G198" s="1"/>
    </row>
    <row r="199" spans="6:7" ht="15.75" customHeight="1">
      <c r="F199" s="1"/>
      <c r="G199" s="1"/>
    </row>
    <row r="200" spans="6:7" ht="15.75" customHeight="1">
      <c r="F200" s="1"/>
      <c r="G200" s="1"/>
    </row>
    <row r="201" spans="6:7" ht="15.75" customHeight="1">
      <c r="F201" s="1"/>
      <c r="G201" s="1"/>
    </row>
    <row r="202" spans="6:7" ht="15.75" customHeight="1">
      <c r="F202" s="1"/>
      <c r="G202" s="1"/>
    </row>
    <row r="203" spans="6:7" ht="15.75" customHeight="1">
      <c r="F203" s="1"/>
      <c r="G203" s="1"/>
    </row>
    <row r="204" spans="6:7" ht="15.75" customHeight="1">
      <c r="F204" s="1"/>
      <c r="G204" s="1"/>
    </row>
    <row r="205" spans="6:7" ht="15.75" customHeight="1">
      <c r="F205" s="1"/>
      <c r="G205" s="1"/>
    </row>
    <row r="206" spans="6:7" ht="15.75" customHeight="1">
      <c r="F206" s="1"/>
      <c r="G206" s="1"/>
    </row>
    <row r="207" spans="6:7" ht="15.75" customHeight="1">
      <c r="F207" s="1"/>
      <c r="G207" s="1"/>
    </row>
    <row r="208" spans="6:7" ht="15.75" customHeight="1">
      <c r="F208" s="1"/>
      <c r="G208" s="1"/>
    </row>
    <row r="209" spans="6:7" ht="15.75" customHeight="1">
      <c r="F209" s="1"/>
      <c r="G209" s="1"/>
    </row>
    <row r="210" spans="6:7" ht="15.75" customHeight="1">
      <c r="F210" s="1"/>
      <c r="G210" s="1"/>
    </row>
    <row r="211" spans="6:7" ht="15.75" customHeight="1">
      <c r="F211" s="1"/>
      <c r="G211" s="1"/>
    </row>
    <row r="212" spans="6:7" ht="15.75" customHeight="1">
      <c r="F212" s="1"/>
      <c r="G212" s="1"/>
    </row>
    <row r="213" spans="6:7" ht="15.75" customHeight="1">
      <c r="F213" s="1"/>
      <c r="G213" s="1"/>
    </row>
    <row r="214" spans="6:7" ht="15.75" customHeight="1">
      <c r="F214" s="1"/>
      <c r="G214" s="1"/>
    </row>
    <row r="215" spans="6:7" ht="15.75" customHeight="1">
      <c r="F215" s="1"/>
      <c r="G215" s="1"/>
    </row>
    <row r="216" spans="6:7" ht="15.75" customHeight="1">
      <c r="F216" s="1"/>
      <c r="G216" s="1"/>
    </row>
    <row r="217" spans="6:7" ht="15.75" customHeight="1">
      <c r="F217" s="1"/>
      <c r="G217" s="1"/>
    </row>
    <row r="218" spans="6:7" ht="15.75" customHeight="1">
      <c r="F218" s="1"/>
      <c r="G218" s="1"/>
    </row>
    <row r="219" spans="6:7" ht="15.75" customHeight="1">
      <c r="F219" s="1"/>
      <c r="G219" s="1"/>
    </row>
    <row r="220" spans="6:7" ht="15.75" customHeight="1">
      <c r="F220" s="1"/>
      <c r="G220" s="1"/>
    </row>
    <row r="221" spans="6:7" ht="15.75" customHeight="1">
      <c r="F221" s="1"/>
      <c r="G221" s="1"/>
    </row>
    <row r="222" spans="6:7" ht="15.75" customHeight="1">
      <c r="F222" s="1"/>
      <c r="G222" s="1"/>
    </row>
    <row r="223" spans="6:7" ht="15.75" customHeight="1">
      <c r="F223" s="1"/>
      <c r="G223" s="1"/>
    </row>
    <row r="224" spans="6:7" ht="15.75" customHeight="1">
      <c r="F224" s="1"/>
      <c r="G224" s="1"/>
    </row>
    <row r="225" spans="6:7" ht="15.75" customHeight="1">
      <c r="F225" s="1"/>
      <c r="G225" s="1"/>
    </row>
    <row r="226" spans="6:7" ht="15.75" customHeight="1">
      <c r="F226" s="1"/>
      <c r="G226" s="1"/>
    </row>
    <row r="227" spans="6:7" ht="15.75" customHeight="1">
      <c r="F227" s="1"/>
      <c r="G227" s="1"/>
    </row>
    <row r="228" spans="6:7" ht="15.75" customHeight="1">
      <c r="F228" s="1"/>
      <c r="G228" s="1"/>
    </row>
    <row r="229" spans="6:7" ht="15.75" customHeight="1">
      <c r="F229" s="1"/>
      <c r="G229" s="1"/>
    </row>
    <row r="230" spans="6:7" ht="15.75" customHeight="1">
      <c r="F230" s="1"/>
      <c r="G230" s="1"/>
    </row>
    <row r="231" spans="6:7" ht="15.75" customHeight="1">
      <c r="F231" s="1"/>
      <c r="G231" s="1"/>
    </row>
    <row r="232" spans="6:7" ht="15.75" customHeight="1">
      <c r="F232" s="1"/>
      <c r="G232" s="1"/>
    </row>
    <row r="233" spans="6:7" ht="15.75" customHeight="1">
      <c r="F233" s="1"/>
      <c r="G233" s="1"/>
    </row>
    <row r="234" spans="6:7" ht="15.75" customHeight="1">
      <c r="F234" s="1"/>
      <c r="G234" s="1"/>
    </row>
    <row r="235" spans="6:7" ht="15.75" customHeight="1">
      <c r="F235" s="1"/>
      <c r="G235" s="1"/>
    </row>
    <row r="236" spans="6:7" ht="15.75" customHeight="1">
      <c r="F236" s="1"/>
      <c r="G236" s="1"/>
    </row>
    <row r="237" spans="6:7" ht="15.75" customHeight="1">
      <c r="F237" s="1"/>
      <c r="G237" s="1"/>
    </row>
    <row r="238" spans="6:7" ht="15.75" customHeight="1">
      <c r="F238" s="1"/>
      <c r="G238" s="1"/>
    </row>
    <row r="239" spans="6:7" ht="15.75" customHeight="1">
      <c r="F239" s="1"/>
      <c r="G239" s="1"/>
    </row>
    <row r="240" spans="6:7" ht="15.75" customHeight="1">
      <c r="F240" s="1"/>
      <c r="G240" s="1"/>
    </row>
    <row r="241" spans="6:7" ht="15.75" customHeight="1">
      <c r="F241" s="1"/>
      <c r="G241" s="1"/>
    </row>
    <row r="242" spans="6:7" ht="15.75" customHeight="1">
      <c r="F242" s="1"/>
      <c r="G242" s="1"/>
    </row>
    <row r="243" spans="6:7" ht="15.75" customHeight="1">
      <c r="F243" s="1"/>
      <c r="G243" s="1"/>
    </row>
    <row r="244" spans="6:7" ht="15.75" customHeight="1">
      <c r="F244" s="1"/>
      <c r="G244" s="1"/>
    </row>
    <row r="245" spans="6:7" ht="15.75" customHeight="1">
      <c r="F245" s="1"/>
      <c r="G245" s="1"/>
    </row>
    <row r="246" spans="6:7" ht="15.75" customHeight="1">
      <c r="F246" s="1"/>
      <c r="G246" s="1"/>
    </row>
    <row r="247" spans="6:7" ht="15.75" customHeight="1">
      <c r="F247" s="1"/>
      <c r="G247" s="1"/>
    </row>
    <row r="248" spans="6:7" ht="15.75" customHeight="1">
      <c r="F248" s="1"/>
      <c r="G248" s="1"/>
    </row>
    <row r="249" spans="6:7" ht="15.75" customHeight="1">
      <c r="F249" s="1"/>
      <c r="G249" s="1"/>
    </row>
    <row r="250" spans="6:7" ht="15.75" customHeight="1">
      <c r="F250" s="1"/>
      <c r="G250" s="1"/>
    </row>
    <row r="251" spans="6:7" ht="15.75" customHeight="1">
      <c r="F251" s="1"/>
      <c r="G251" s="1"/>
    </row>
    <row r="252" spans="6:7" ht="15.75" customHeight="1">
      <c r="F252" s="1"/>
      <c r="G252" s="1"/>
    </row>
    <row r="253" spans="6:7" ht="15.75" customHeight="1">
      <c r="F253" s="1"/>
      <c r="G253" s="1"/>
    </row>
    <row r="254" spans="6:7" ht="15.75" customHeight="1">
      <c r="F254" s="1"/>
      <c r="G254" s="1"/>
    </row>
    <row r="255" spans="6:7" ht="15.75" customHeight="1">
      <c r="F255" s="1"/>
      <c r="G255" s="1"/>
    </row>
    <row r="256" spans="6:7" ht="15.75" customHeight="1">
      <c r="F256" s="1"/>
      <c r="G256" s="1"/>
    </row>
    <row r="257" spans="6:7" ht="15.75" customHeight="1">
      <c r="F257" s="1"/>
      <c r="G257" s="1"/>
    </row>
    <row r="258" spans="6:7" ht="15.75" customHeight="1">
      <c r="F258" s="1"/>
      <c r="G258" s="1"/>
    </row>
    <row r="259" spans="6:7" ht="15.75" customHeight="1">
      <c r="F259" s="1"/>
      <c r="G259" s="1"/>
    </row>
    <row r="260" spans="6:7" ht="15.75" customHeight="1">
      <c r="F260" s="1"/>
      <c r="G260" s="1"/>
    </row>
    <row r="261" spans="6:7" ht="15.75" customHeight="1">
      <c r="F261" s="1"/>
      <c r="G261" s="1"/>
    </row>
    <row r="262" spans="6:7" ht="15.75" customHeight="1">
      <c r="F262" s="1"/>
      <c r="G262" s="1"/>
    </row>
    <row r="263" spans="6:7" ht="15.75" customHeight="1">
      <c r="F263" s="1"/>
      <c r="G263" s="1"/>
    </row>
    <row r="264" spans="6:7" ht="15.75" customHeight="1">
      <c r="F264" s="1"/>
      <c r="G264" s="1"/>
    </row>
    <row r="265" spans="6:7" ht="15.75" customHeight="1">
      <c r="F265" s="1"/>
      <c r="G265" s="1"/>
    </row>
    <row r="266" spans="6:7" ht="15.75" customHeight="1">
      <c r="F266" s="1"/>
      <c r="G266" s="1"/>
    </row>
    <row r="267" spans="6:7" ht="15.75" customHeight="1">
      <c r="F267" s="1"/>
      <c r="G267" s="1"/>
    </row>
    <row r="268" spans="6:7" ht="15.75" customHeight="1">
      <c r="F268" s="1"/>
      <c r="G268" s="1"/>
    </row>
    <row r="269" spans="6:7" ht="15.75" customHeight="1">
      <c r="F269" s="1"/>
      <c r="G269" s="1"/>
    </row>
    <row r="270" spans="6:7" ht="15.75" customHeight="1">
      <c r="F270" s="1"/>
      <c r="G270" s="1"/>
    </row>
    <row r="271" spans="6:7" ht="15.75" customHeight="1">
      <c r="F271" s="1"/>
      <c r="G271" s="1"/>
    </row>
    <row r="272" spans="6:7" ht="15.75" customHeight="1">
      <c r="F272" s="1"/>
      <c r="G272" s="1"/>
    </row>
    <row r="273" spans="6:7" ht="15.75" customHeight="1">
      <c r="F273" s="1"/>
      <c r="G273" s="1"/>
    </row>
    <row r="274" spans="6:7" ht="15.75" customHeight="1">
      <c r="F274" s="1"/>
      <c r="G274" s="1"/>
    </row>
    <row r="275" spans="6:7" ht="15.75" customHeight="1">
      <c r="F275" s="1"/>
      <c r="G275" s="1"/>
    </row>
    <row r="276" spans="6:7" ht="15.75" customHeight="1">
      <c r="F276" s="1"/>
      <c r="G276" s="1"/>
    </row>
    <row r="277" spans="6:7" ht="15.75" customHeight="1">
      <c r="F277" s="1"/>
      <c r="G277" s="1"/>
    </row>
    <row r="278" spans="6:7" ht="15.75" customHeight="1">
      <c r="F278" s="1"/>
      <c r="G278" s="1"/>
    </row>
    <row r="279" spans="6:7" ht="15.75" customHeight="1">
      <c r="F279" s="1"/>
      <c r="G279" s="1"/>
    </row>
    <row r="280" spans="6:7" ht="15.75" customHeight="1">
      <c r="F280" s="1"/>
      <c r="G280" s="1"/>
    </row>
    <row r="281" spans="6:7" ht="15.75" customHeight="1">
      <c r="F281" s="1"/>
      <c r="G281" s="1"/>
    </row>
    <row r="282" spans="6:7" ht="15.75" customHeight="1">
      <c r="F282" s="1"/>
      <c r="G282" s="1"/>
    </row>
    <row r="283" spans="6:7" ht="15.75" customHeight="1">
      <c r="F283" s="1"/>
      <c r="G283" s="1"/>
    </row>
    <row r="284" spans="6:7" ht="15.75" customHeight="1">
      <c r="F284" s="1"/>
      <c r="G284" s="1"/>
    </row>
    <row r="285" spans="6:7" ht="15.75" customHeight="1">
      <c r="F285" s="1"/>
      <c r="G285" s="1"/>
    </row>
    <row r="286" spans="6:7" ht="15.75" customHeight="1">
      <c r="F286" s="1"/>
      <c r="G286" s="1"/>
    </row>
    <row r="287" spans="6:7" ht="15.75" customHeight="1">
      <c r="F287" s="1"/>
      <c r="G287" s="1"/>
    </row>
    <row r="288" spans="6:7" ht="15.75" customHeight="1">
      <c r="F288" s="1"/>
      <c r="G288" s="1"/>
    </row>
    <row r="289" spans="6:7" ht="15.75" customHeight="1">
      <c r="F289" s="1"/>
      <c r="G289" s="1"/>
    </row>
    <row r="290" spans="6:7" ht="15.75" customHeight="1">
      <c r="F290" s="1"/>
      <c r="G290" s="1"/>
    </row>
    <row r="291" spans="6:7" ht="15.75" customHeight="1">
      <c r="F291" s="1"/>
      <c r="G291" s="1"/>
    </row>
    <row r="292" spans="6:7" ht="15.75" customHeight="1">
      <c r="F292" s="1"/>
      <c r="G292" s="1"/>
    </row>
    <row r="293" spans="6:7" ht="15.75" customHeight="1">
      <c r="F293" s="1"/>
      <c r="G293" s="1"/>
    </row>
    <row r="294" spans="6:7" ht="15.75" customHeight="1">
      <c r="F294" s="1"/>
      <c r="G294" s="1"/>
    </row>
    <row r="295" spans="6:7" ht="15.75" customHeight="1">
      <c r="F295" s="1"/>
      <c r="G295" s="1"/>
    </row>
    <row r="296" spans="6:7" ht="15.75" customHeight="1">
      <c r="F296" s="1"/>
      <c r="G296" s="1"/>
    </row>
    <row r="297" spans="6:7" ht="15.75" customHeight="1">
      <c r="F297" s="1"/>
      <c r="G297" s="1"/>
    </row>
    <row r="298" spans="6:7" ht="15.75" customHeight="1">
      <c r="F298" s="1"/>
      <c r="G298" s="1"/>
    </row>
    <row r="299" spans="6:7" ht="15.75" customHeight="1">
      <c r="F299" s="1"/>
      <c r="G299" s="1"/>
    </row>
    <row r="300" spans="6:7" ht="15.75" customHeight="1">
      <c r="F300" s="1"/>
      <c r="G300" s="1"/>
    </row>
    <row r="301" spans="6:7" ht="15.75" customHeight="1">
      <c r="F301" s="1"/>
      <c r="G301" s="1"/>
    </row>
    <row r="302" spans="6:7" ht="15.75" customHeight="1">
      <c r="F302" s="1"/>
      <c r="G302" s="1"/>
    </row>
    <row r="303" spans="6:7" ht="15.75" customHeight="1">
      <c r="F303" s="1"/>
      <c r="G303" s="1"/>
    </row>
    <row r="304" spans="6:7" ht="15.75" customHeight="1">
      <c r="F304" s="1"/>
      <c r="G304" s="1"/>
    </row>
    <row r="305" spans="6:7" ht="15.75" customHeight="1">
      <c r="F305" s="1"/>
      <c r="G305" s="1"/>
    </row>
    <row r="306" spans="6:7" ht="15.75" customHeight="1">
      <c r="F306" s="1"/>
      <c r="G306" s="1"/>
    </row>
    <row r="307" spans="6:7" ht="15.75" customHeight="1">
      <c r="F307" s="1"/>
      <c r="G307" s="1"/>
    </row>
    <row r="308" spans="6:7" ht="15.75" customHeight="1">
      <c r="F308" s="1"/>
      <c r="G308" s="1"/>
    </row>
    <row r="309" spans="6:7" ht="15.75" customHeight="1">
      <c r="F309" s="1"/>
      <c r="G309" s="1"/>
    </row>
    <row r="310" spans="6:7" ht="15.75" customHeight="1">
      <c r="F310" s="1"/>
      <c r="G310" s="1"/>
    </row>
    <row r="311" spans="6:7" ht="15.75" customHeight="1">
      <c r="F311" s="1"/>
      <c r="G311" s="1"/>
    </row>
    <row r="312" spans="6:7" ht="15.75" customHeight="1">
      <c r="F312" s="1"/>
      <c r="G312" s="1"/>
    </row>
    <row r="313" spans="6:7" ht="15.75" customHeight="1">
      <c r="F313" s="1"/>
      <c r="G313" s="1"/>
    </row>
    <row r="314" spans="6:7" ht="15.75" customHeight="1">
      <c r="F314" s="1"/>
      <c r="G314" s="1"/>
    </row>
    <row r="315" spans="6:7" ht="15.75" customHeight="1">
      <c r="F315" s="1"/>
      <c r="G315" s="1"/>
    </row>
    <row r="316" spans="6:7" ht="15.75" customHeight="1">
      <c r="F316" s="1"/>
      <c r="G316" s="1"/>
    </row>
    <row r="317" spans="6:7" ht="15.75" customHeight="1">
      <c r="F317" s="1"/>
      <c r="G317" s="1"/>
    </row>
    <row r="318" spans="6:7" ht="15.75" customHeight="1">
      <c r="F318" s="1"/>
      <c r="G318" s="1"/>
    </row>
    <row r="319" spans="6:7" ht="15.75" customHeight="1">
      <c r="F319" s="1"/>
      <c r="G319" s="1"/>
    </row>
    <row r="320" spans="6:7" ht="15.75" customHeight="1">
      <c r="F320" s="1"/>
      <c r="G320" s="1"/>
    </row>
    <row r="321" spans="6:7" ht="15.75" customHeight="1">
      <c r="F321" s="1"/>
      <c r="G321" s="1"/>
    </row>
    <row r="322" spans="6:7" ht="15.75" customHeight="1">
      <c r="F322" s="1"/>
      <c r="G322" s="1"/>
    </row>
    <row r="323" spans="6:7" ht="15.75" customHeight="1">
      <c r="F323" s="1"/>
      <c r="G323" s="1"/>
    </row>
    <row r="324" spans="6:7" ht="15.75" customHeight="1">
      <c r="F324" s="1"/>
      <c r="G324" s="1"/>
    </row>
    <row r="325" spans="6:7" ht="15.75" customHeight="1">
      <c r="F325" s="1"/>
      <c r="G325" s="1"/>
    </row>
    <row r="326" spans="6:7" ht="15.75" customHeight="1">
      <c r="F326" s="1"/>
      <c r="G326" s="1"/>
    </row>
    <row r="327" spans="6:7" ht="15.75" customHeight="1">
      <c r="F327" s="1"/>
      <c r="G327" s="1"/>
    </row>
    <row r="328" spans="6:7" ht="15.75" customHeight="1">
      <c r="F328" s="1"/>
      <c r="G328" s="1"/>
    </row>
    <row r="329" spans="6:7" ht="15.75" customHeight="1">
      <c r="F329" s="1"/>
      <c r="G329" s="1"/>
    </row>
    <row r="330" spans="6:7" ht="15.75" customHeight="1">
      <c r="F330" s="1"/>
      <c r="G330" s="1"/>
    </row>
    <row r="331" spans="6:7" ht="15.75" customHeight="1">
      <c r="F331" s="1"/>
      <c r="G331" s="1"/>
    </row>
    <row r="332" spans="6:7" ht="15.75" customHeight="1">
      <c r="F332" s="1"/>
      <c r="G332" s="1"/>
    </row>
    <row r="333" spans="6:7" ht="15.75" customHeight="1">
      <c r="F333" s="1"/>
      <c r="G333" s="1"/>
    </row>
    <row r="334" spans="6:7" ht="15.75" customHeight="1">
      <c r="F334" s="1"/>
      <c r="G334" s="1"/>
    </row>
    <row r="335" spans="6:7" ht="15.75" customHeight="1">
      <c r="F335" s="1"/>
      <c r="G335" s="1"/>
    </row>
    <row r="336" spans="6:7" ht="15.75" customHeight="1">
      <c r="F336" s="1"/>
      <c r="G336" s="1"/>
    </row>
    <row r="337" spans="6:7" ht="15.75" customHeight="1">
      <c r="F337" s="1"/>
      <c r="G337" s="1"/>
    </row>
    <row r="338" spans="6:7" ht="15.75" customHeight="1">
      <c r="F338" s="1"/>
      <c r="G338" s="1"/>
    </row>
    <row r="339" spans="6:7" ht="15.75" customHeight="1">
      <c r="F339" s="1"/>
      <c r="G339" s="1"/>
    </row>
    <row r="340" spans="6:7" ht="15.75" customHeight="1">
      <c r="F340" s="1"/>
      <c r="G340" s="1"/>
    </row>
    <row r="341" spans="6:7" ht="15.75" customHeight="1">
      <c r="F341" s="1"/>
      <c r="G341" s="1"/>
    </row>
    <row r="342" spans="6:7" ht="15.75" customHeight="1">
      <c r="F342" s="1"/>
      <c r="G342" s="1"/>
    </row>
    <row r="343" spans="6:7" ht="15.75" customHeight="1">
      <c r="F343" s="1"/>
      <c r="G343" s="1"/>
    </row>
    <row r="344" spans="6:7" ht="15.75" customHeight="1">
      <c r="F344" s="1"/>
      <c r="G344" s="1"/>
    </row>
    <row r="345" spans="6:7" ht="15.75" customHeight="1">
      <c r="F345" s="1"/>
      <c r="G345" s="1"/>
    </row>
    <row r="346" spans="6:7" ht="15.75" customHeight="1">
      <c r="F346" s="1"/>
      <c r="G346" s="1"/>
    </row>
    <row r="347" spans="6:7" ht="15.75" customHeight="1">
      <c r="F347" s="1"/>
      <c r="G347" s="1"/>
    </row>
    <row r="348" spans="6:7" ht="15.75" customHeight="1">
      <c r="F348" s="1"/>
      <c r="G348" s="1"/>
    </row>
    <row r="349" spans="6:7" ht="15.75" customHeight="1">
      <c r="F349" s="1"/>
      <c r="G349" s="1"/>
    </row>
    <row r="350" spans="6:7" ht="15.75" customHeight="1">
      <c r="F350" s="1"/>
      <c r="G350" s="1"/>
    </row>
    <row r="351" spans="6:7" ht="15.75" customHeight="1">
      <c r="F351" s="1"/>
      <c r="G351" s="1"/>
    </row>
    <row r="352" spans="6:7" ht="15.75" customHeight="1">
      <c r="F352" s="1"/>
      <c r="G352" s="1"/>
    </row>
    <row r="353" spans="6:7" ht="15.75" customHeight="1">
      <c r="F353" s="1"/>
      <c r="G353" s="1"/>
    </row>
    <row r="354" spans="6:7" ht="15.75" customHeight="1">
      <c r="F354" s="1"/>
      <c r="G354" s="1"/>
    </row>
    <row r="355" spans="6:7" ht="15.75" customHeight="1">
      <c r="F355" s="1"/>
      <c r="G355" s="1"/>
    </row>
    <row r="356" spans="6:7" ht="15.75" customHeight="1">
      <c r="F356" s="1"/>
      <c r="G356" s="1"/>
    </row>
    <row r="357" spans="6:7" ht="15.75" customHeight="1">
      <c r="F357" s="1"/>
      <c r="G357" s="1"/>
    </row>
    <row r="358" spans="6:7" ht="15.75" customHeight="1">
      <c r="F358" s="1"/>
      <c r="G358" s="1"/>
    </row>
    <row r="359" spans="6:7" ht="15.75" customHeight="1">
      <c r="F359" s="1"/>
      <c r="G359" s="1"/>
    </row>
    <row r="360" spans="6:7" ht="15.75" customHeight="1">
      <c r="F360" s="1"/>
      <c r="G360" s="1"/>
    </row>
    <row r="361" spans="6:7" ht="15.75" customHeight="1">
      <c r="F361" s="1"/>
      <c r="G361" s="1"/>
    </row>
    <row r="362" spans="6:7" ht="15.75" customHeight="1">
      <c r="F362" s="1"/>
      <c r="G362" s="1"/>
    </row>
    <row r="363" spans="6:7" ht="15.75" customHeight="1">
      <c r="F363" s="1"/>
      <c r="G363" s="1"/>
    </row>
    <row r="364" spans="6:7" ht="15.75" customHeight="1">
      <c r="F364" s="1"/>
      <c r="G364" s="1"/>
    </row>
    <row r="365" spans="6:7" ht="15.75" customHeight="1">
      <c r="F365" s="1"/>
      <c r="G365" s="1"/>
    </row>
    <row r="366" spans="6:7" ht="15.75" customHeight="1">
      <c r="F366" s="1"/>
      <c r="G366" s="1"/>
    </row>
    <row r="367" spans="6:7" ht="15.75" customHeight="1">
      <c r="F367" s="1"/>
      <c r="G367" s="1"/>
    </row>
    <row r="368" spans="6:7" ht="15.75" customHeight="1">
      <c r="F368" s="1"/>
      <c r="G368" s="1"/>
    </row>
    <row r="369" spans="6:7" ht="15.75" customHeight="1">
      <c r="F369" s="1"/>
      <c r="G369" s="1"/>
    </row>
    <row r="370" spans="6:7" ht="15.75" customHeight="1">
      <c r="F370" s="1"/>
      <c r="G370" s="1"/>
    </row>
    <row r="371" spans="6:7" ht="15.75" customHeight="1">
      <c r="F371" s="1"/>
      <c r="G371" s="1"/>
    </row>
    <row r="372" spans="6:7" ht="15.75" customHeight="1">
      <c r="F372" s="1"/>
      <c r="G372" s="1"/>
    </row>
    <row r="373" spans="6:7" ht="15.75" customHeight="1">
      <c r="F373" s="1"/>
      <c r="G373" s="1"/>
    </row>
    <row r="374" spans="6:7" ht="15.75" customHeight="1">
      <c r="F374" s="1"/>
      <c r="G374" s="1"/>
    </row>
    <row r="375" spans="6:7" ht="15.75" customHeight="1">
      <c r="F375" s="1"/>
      <c r="G375" s="1"/>
    </row>
    <row r="376" spans="6:7" ht="15.75" customHeight="1">
      <c r="F376" s="1"/>
      <c r="G376" s="1"/>
    </row>
    <row r="377" spans="6:7" ht="15.75" customHeight="1">
      <c r="F377" s="1"/>
      <c r="G377" s="1"/>
    </row>
    <row r="378" spans="6:7" ht="15.75" customHeight="1">
      <c r="F378" s="1"/>
      <c r="G378" s="1"/>
    </row>
    <row r="379" spans="6:7" ht="15.75" customHeight="1">
      <c r="F379" s="1"/>
      <c r="G379" s="1"/>
    </row>
    <row r="380" spans="6:7" ht="15.75" customHeight="1">
      <c r="F380" s="1"/>
      <c r="G380" s="1"/>
    </row>
    <row r="381" spans="6:7" ht="15.75" customHeight="1">
      <c r="F381" s="1"/>
      <c r="G381" s="1"/>
    </row>
    <row r="382" spans="6:7" ht="15.75" customHeight="1">
      <c r="F382" s="1"/>
      <c r="G382" s="1"/>
    </row>
    <row r="383" spans="6:7" ht="15.75" customHeight="1">
      <c r="F383" s="1"/>
      <c r="G383" s="1"/>
    </row>
    <row r="384" spans="6:7" ht="15.75" customHeight="1">
      <c r="F384" s="1"/>
      <c r="G384" s="1"/>
    </row>
    <row r="385" spans="6:7" ht="15.75" customHeight="1">
      <c r="F385" s="1"/>
      <c r="G385" s="1"/>
    </row>
    <row r="386" spans="6:7" ht="15.75" customHeight="1">
      <c r="F386" s="1"/>
      <c r="G386" s="1"/>
    </row>
    <row r="387" spans="6:7" ht="15.75" customHeight="1">
      <c r="F387" s="1"/>
      <c r="G387" s="1"/>
    </row>
    <row r="388" spans="6:7" ht="15.75" customHeight="1">
      <c r="F388" s="1"/>
      <c r="G388" s="1"/>
    </row>
    <row r="389" spans="6:7" ht="15.75" customHeight="1">
      <c r="F389" s="1"/>
      <c r="G389" s="1"/>
    </row>
    <row r="390" spans="6:7" ht="15.75" customHeight="1">
      <c r="F390" s="1"/>
      <c r="G390" s="1"/>
    </row>
    <row r="391" spans="6:7" ht="15.75" customHeight="1">
      <c r="F391" s="1"/>
      <c r="G391" s="1"/>
    </row>
    <row r="392" spans="6:7" ht="15.75" customHeight="1">
      <c r="F392" s="1"/>
      <c r="G392" s="1"/>
    </row>
    <row r="393" spans="6:7" ht="15.75" customHeight="1">
      <c r="F393" s="1"/>
      <c r="G393" s="1"/>
    </row>
    <row r="394" spans="6:7" ht="15.75" customHeight="1">
      <c r="F394" s="1"/>
      <c r="G394" s="1"/>
    </row>
    <row r="395" spans="6:7" ht="15.75" customHeight="1">
      <c r="F395" s="1"/>
      <c r="G395" s="1"/>
    </row>
    <row r="396" spans="6:7" ht="15.75" customHeight="1">
      <c r="F396" s="1"/>
      <c r="G396" s="1"/>
    </row>
    <row r="397" spans="6:7" ht="15.75" customHeight="1">
      <c r="F397" s="1"/>
      <c r="G397" s="1"/>
    </row>
    <row r="398" spans="6:7" ht="15.75" customHeight="1">
      <c r="F398" s="1"/>
      <c r="G398" s="1"/>
    </row>
    <row r="399" spans="6:7" ht="15.75" customHeight="1">
      <c r="F399" s="1"/>
      <c r="G399" s="1"/>
    </row>
    <row r="400" spans="6:7" ht="15.75" customHeight="1">
      <c r="F400" s="1"/>
      <c r="G400" s="1"/>
    </row>
    <row r="401" spans="6:7" ht="15.75" customHeight="1">
      <c r="F401" s="1"/>
      <c r="G401" s="1"/>
    </row>
    <row r="402" spans="6:7" ht="15.75" customHeight="1">
      <c r="F402" s="1"/>
      <c r="G402" s="1"/>
    </row>
    <row r="403" spans="6:7" ht="15.75" customHeight="1">
      <c r="F403" s="1"/>
      <c r="G403" s="1"/>
    </row>
    <row r="404" spans="6:7" ht="15.75" customHeight="1">
      <c r="F404" s="1"/>
      <c r="G404" s="1"/>
    </row>
    <row r="405" spans="6:7" ht="15.75" customHeight="1">
      <c r="F405" s="1"/>
      <c r="G405" s="1"/>
    </row>
    <row r="406" spans="6:7" ht="15.75" customHeight="1">
      <c r="F406" s="1"/>
      <c r="G406" s="1"/>
    </row>
    <row r="407" spans="6:7" ht="15.75" customHeight="1">
      <c r="F407" s="1"/>
      <c r="G407" s="1"/>
    </row>
    <row r="408" spans="6:7" ht="15.75" customHeight="1">
      <c r="F408" s="1"/>
      <c r="G408" s="1"/>
    </row>
    <row r="409" spans="6:7" ht="15.75" customHeight="1">
      <c r="F409" s="1"/>
      <c r="G409" s="1"/>
    </row>
    <row r="410" spans="6:7" ht="15.75" customHeight="1">
      <c r="F410" s="1"/>
      <c r="G410" s="1"/>
    </row>
    <row r="411" spans="6:7" ht="15.75" customHeight="1">
      <c r="F411" s="1"/>
      <c r="G411" s="1"/>
    </row>
    <row r="412" spans="6:7" ht="15.75" customHeight="1">
      <c r="F412" s="1"/>
      <c r="G412" s="1"/>
    </row>
    <row r="413" spans="6:7" ht="15.75" customHeight="1">
      <c r="F413" s="1"/>
      <c r="G413" s="1"/>
    </row>
    <row r="414" spans="6:7" ht="15.75" customHeight="1">
      <c r="F414" s="1"/>
      <c r="G414" s="1"/>
    </row>
    <row r="415" spans="6:7" ht="15.75" customHeight="1">
      <c r="F415" s="1"/>
      <c r="G415" s="1"/>
    </row>
    <row r="416" spans="6:7" ht="15.75" customHeight="1">
      <c r="F416" s="1"/>
      <c r="G416" s="1"/>
    </row>
    <row r="417" spans="6:7" ht="15.75" customHeight="1">
      <c r="F417" s="1"/>
      <c r="G417" s="1"/>
    </row>
    <row r="418" spans="6:7" ht="15.75" customHeight="1">
      <c r="F418" s="1"/>
      <c r="G418" s="1"/>
    </row>
    <row r="419" spans="6:7" ht="15.75" customHeight="1">
      <c r="F419" s="1"/>
      <c r="G419" s="1"/>
    </row>
    <row r="420" spans="6:7" ht="15.75" customHeight="1">
      <c r="F420" s="1"/>
      <c r="G420" s="1"/>
    </row>
    <row r="421" spans="6:7" ht="15.75" customHeight="1">
      <c r="F421" s="1"/>
      <c r="G421" s="1"/>
    </row>
    <row r="422" spans="6:7" ht="15.75" customHeight="1">
      <c r="F422" s="1"/>
      <c r="G422" s="1"/>
    </row>
    <row r="423" spans="6:7" ht="15.75" customHeight="1">
      <c r="F423" s="1"/>
      <c r="G423" s="1"/>
    </row>
    <row r="424" spans="6:7" ht="15.75" customHeight="1">
      <c r="F424" s="1"/>
      <c r="G424" s="1"/>
    </row>
    <row r="425" spans="6:7" ht="15.75" customHeight="1">
      <c r="F425" s="1"/>
      <c r="G425" s="1"/>
    </row>
    <row r="426" spans="6:7" ht="15.75" customHeight="1">
      <c r="F426" s="1"/>
      <c r="G426" s="1"/>
    </row>
    <row r="427" spans="6:7" ht="15.75" customHeight="1">
      <c r="F427" s="1"/>
      <c r="G427" s="1"/>
    </row>
    <row r="428" spans="6:7" ht="15.75" customHeight="1">
      <c r="F428" s="1"/>
      <c r="G428" s="1"/>
    </row>
    <row r="429" spans="6:7" ht="15.75" customHeight="1">
      <c r="F429" s="1"/>
      <c r="G429" s="1"/>
    </row>
    <row r="430" spans="6:7" ht="15.75" customHeight="1">
      <c r="F430" s="1"/>
      <c r="G430" s="1"/>
    </row>
    <row r="431" spans="6:7" ht="15.75" customHeight="1">
      <c r="F431" s="1"/>
      <c r="G431" s="1"/>
    </row>
    <row r="432" spans="6:7" ht="15.75" customHeight="1">
      <c r="F432" s="1"/>
      <c r="G432" s="1"/>
    </row>
    <row r="433" spans="6:7" ht="15.75" customHeight="1">
      <c r="F433" s="1"/>
      <c r="G433" s="1"/>
    </row>
    <row r="434" spans="6:7" ht="15.75" customHeight="1">
      <c r="F434" s="1"/>
      <c r="G434" s="1"/>
    </row>
    <row r="435" spans="6:7" ht="15.75" customHeight="1">
      <c r="F435" s="1"/>
      <c r="G435" s="1"/>
    </row>
    <row r="436" spans="6:7" ht="15.75" customHeight="1">
      <c r="F436" s="1"/>
      <c r="G436" s="1"/>
    </row>
    <row r="437" spans="6:7" ht="15.75" customHeight="1">
      <c r="F437" s="1"/>
      <c r="G437" s="1"/>
    </row>
    <row r="438" spans="6:7" ht="15.75" customHeight="1">
      <c r="F438" s="1"/>
      <c r="G438" s="1"/>
    </row>
    <row r="439" spans="6:7" ht="15.75" customHeight="1">
      <c r="F439" s="1"/>
      <c r="G439" s="1"/>
    </row>
    <row r="440" spans="6:7" ht="15.75" customHeight="1">
      <c r="F440" s="1"/>
      <c r="G440" s="1"/>
    </row>
    <row r="441" spans="6:7" ht="15.75" customHeight="1">
      <c r="F441" s="1"/>
      <c r="G441" s="1"/>
    </row>
    <row r="442" spans="6:7" ht="15.75" customHeight="1">
      <c r="F442" s="1"/>
      <c r="G442" s="1"/>
    </row>
    <row r="443" spans="6:7" ht="15.75" customHeight="1">
      <c r="F443" s="1"/>
      <c r="G443" s="1"/>
    </row>
    <row r="444" spans="6:7" ht="15.75" customHeight="1">
      <c r="F444" s="1"/>
      <c r="G444" s="1"/>
    </row>
    <row r="445" spans="6:7" ht="15.75" customHeight="1">
      <c r="F445" s="1"/>
      <c r="G445" s="1"/>
    </row>
    <row r="446" spans="6:7" ht="15.75" customHeight="1">
      <c r="F446" s="1"/>
      <c r="G446" s="1"/>
    </row>
    <row r="447" spans="6:7" ht="15.75" customHeight="1">
      <c r="F447" s="1"/>
      <c r="G447" s="1"/>
    </row>
    <row r="448" spans="6:7" ht="15.75" customHeight="1">
      <c r="F448" s="1"/>
      <c r="G448" s="1"/>
    </row>
    <row r="449" spans="6:7" ht="15.75" customHeight="1">
      <c r="F449" s="1"/>
      <c r="G449" s="1"/>
    </row>
    <row r="450" spans="6:7" ht="15.75" customHeight="1">
      <c r="F450" s="1"/>
      <c r="G450" s="1"/>
    </row>
    <row r="451" spans="6:7" ht="15.75" customHeight="1">
      <c r="F451" s="1"/>
      <c r="G451" s="1"/>
    </row>
    <row r="452" spans="6:7" ht="15.75" customHeight="1">
      <c r="F452" s="1"/>
      <c r="G452" s="1"/>
    </row>
    <row r="453" spans="6:7" ht="15.75" customHeight="1">
      <c r="F453" s="1"/>
      <c r="G453" s="1"/>
    </row>
    <row r="454" spans="6:7" ht="15.75" customHeight="1">
      <c r="F454" s="1"/>
      <c r="G454" s="1"/>
    </row>
    <row r="455" spans="6:7" ht="15.75" customHeight="1">
      <c r="F455" s="1"/>
      <c r="G455" s="1"/>
    </row>
    <row r="456" spans="6:7" ht="15.75" customHeight="1">
      <c r="F456" s="1"/>
      <c r="G456" s="1"/>
    </row>
    <row r="457" spans="6:7" ht="15.75" customHeight="1">
      <c r="F457" s="1"/>
      <c r="G457" s="1"/>
    </row>
    <row r="458" spans="6:7" ht="15.75" customHeight="1">
      <c r="F458" s="1"/>
      <c r="G458" s="1"/>
    </row>
    <row r="459" spans="6:7" ht="15.75" customHeight="1">
      <c r="F459" s="1"/>
      <c r="G459" s="1"/>
    </row>
    <row r="460" spans="6:7" ht="15.75" customHeight="1">
      <c r="F460" s="1"/>
      <c r="G460" s="1"/>
    </row>
    <row r="461" spans="6:7" ht="15.75" customHeight="1">
      <c r="F461" s="1"/>
      <c r="G461" s="1"/>
    </row>
    <row r="462" spans="6:7" ht="15.75" customHeight="1">
      <c r="F462" s="1"/>
      <c r="G462" s="1"/>
    </row>
    <row r="463" spans="6:7" ht="15.75" customHeight="1">
      <c r="F463" s="1"/>
      <c r="G463" s="1"/>
    </row>
    <row r="464" spans="6:7" ht="15.75" customHeight="1">
      <c r="F464" s="1"/>
      <c r="G464" s="1"/>
    </row>
    <row r="465" spans="6:7" ht="15.75" customHeight="1">
      <c r="F465" s="1"/>
      <c r="G465" s="1"/>
    </row>
    <row r="466" spans="6:7" ht="15.75" customHeight="1">
      <c r="F466" s="1"/>
      <c r="G466" s="1"/>
    </row>
    <row r="467" spans="6:7" ht="15.75" customHeight="1">
      <c r="F467" s="1"/>
      <c r="G467" s="1"/>
    </row>
    <row r="468" spans="6:7" ht="15.75" customHeight="1">
      <c r="F468" s="1"/>
      <c r="G468" s="1"/>
    </row>
    <row r="469" spans="6:7" ht="15.75" customHeight="1">
      <c r="F469" s="1"/>
      <c r="G469" s="1"/>
    </row>
    <row r="470" spans="6:7" ht="15.75" customHeight="1">
      <c r="F470" s="1"/>
      <c r="G470" s="1"/>
    </row>
    <row r="471" spans="6:7" ht="15.75" customHeight="1">
      <c r="F471" s="1"/>
      <c r="G471" s="1"/>
    </row>
    <row r="472" spans="6:7" ht="15.75" customHeight="1">
      <c r="F472" s="1"/>
      <c r="G472" s="1"/>
    </row>
    <row r="473" spans="6:7" ht="15.75" customHeight="1">
      <c r="F473" s="1"/>
      <c r="G473" s="1"/>
    </row>
    <row r="474" spans="6:7" ht="15.75" customHeight="1">
      <c r="F474" s="1"/>
      <c r="G474" s="1"/>
    </row>
    <row r="475" spans="6:7" ht="15.75" customHeight="1">
      <c r="F475" s="1"/>
      <c r="G475" s="1"/>
    </row>
    <row r="476" spans="6:7" ht="15.75" customHeight="1">
      <c r="F476" s="1"/>
      <c r="G476" s="1"/>
    </row>
    <row r="477" spans="6:7" ht="15.75" customHeight="1">
      <c r="F477" s="1"/>
      <c r="G477" s="1"/>
    </row>
    <row r="478" spans="6:7" ht="15.75" customHeight="1">
      <c r="F478" s="1"/>
      <c r="G478" s="1"/>
    </row>
    <row r="479" spans="6:7" ht="15.75" customHeight="1">
      <c r="F479" s="1"/>
      <c r="G479" s="1"/>
    </row>
    <row r="480" spans="6:7" ht="15.75" customHeight="1">
      <c r="F480" s="1"/>
      <c r="G480" s="1"/>
    </row>
    <row r="481" spans="6:7" ht="15.75" customHeight="1">
      <c r="F481" s="1"/>
      <c r="G481" s="1"/>
    </row>
    <row r="482" spans="6:7" ht="15.75" customHeight="1">
      <c r="F482" s="1"/>
      <c r="G482" s="1"/>
    </row>
    <row r="483" spans="6:7" ht="15.75" customHeight="1">
      <c r="F483" s="1"/>
      <c r="G483" s="1"/>
    </row>
    <row r="484" spans="6:7" ht="15.75" customHeight="1">
      <c r="F484" s="1"/>
      <c r="G484" s="1"/>
    </row>
    <row r="485" spans="6:7" ht="15.75" customHeight="1">
      <c r="F485" s="1"/>
      <c r="G485" s="1"/>
    </row>
    <row r="486" spans="6:7" ht="15.75" customHeight="1">
      <c r="F486" s="1"/>
      <c r="G486" s="1"/>
    </row>
    <row r="487" spans="6:7" ht="15.75" customHeight="1">
      <c r="F487" s="1"/>
      <c r="G487" s="1"/>
    </row>
    <row r="488" spans="6:7" ht="15.75" customHeight="1">
      <c r="F488" s="1"/>
      <c r="G488" s="1"/>
    </row>
    <row r="489" spans="6:7" ht="15.75" customHeight="1">
      <c r="F489" s="1"/>
      <c r="G489" s="1"/>
    </row>
    <row r="490" spans="6:7" ht="15.75" customHeight="1">
      <c r="F490" s="1"/>
      <c r="G490" s="1"/>
    </row>
    <row r="491" spans="6:7" ht="15.75" customHeight="1">
      <c r="F491" s="1"/>
      <c r="G491" s="1"/>
    </row>
    <row r="492" spans="6:7" ht="15.75" customHeight="1">
      <c r="F492" s="1"/>
      <c r="G492" s="1"/>
    </row>
    <row r="493" spans="6:7" ht="15.75" customHeight="1">
      <c r="F493" s="1"/>
      <c r="G493" s="1"/>
    </row>
    <row r="494" spans="6:7" ht="15.75" customHeight="1">
      <c r="F494" s="1"/>
      <c r="G494" s="1"/>
    </row>
    <row r="495" spans="6:7" ht="15.75" customHeight="1">
      <c r="F495" s="1"/>
      <c r="G495" s="1"/>
    </row>
    <row r="496" spans="6:7" ht="15.75" customHeight="1">
      <c r="F496" s="1"/>
      <c r="G496" s="1"/>
    </row>
    <row r="497" spans="6:7" ht="15.75" customHeight="1">
      <c r="F497" s="1"/>
      <c r="G497" s="1"/>
    </row>
    <row r="498" spans="6:7" ht="15.75" customHeight="1">
      <c r="F498" s="1"/>
      <c r="G498" s="1"/>
    </row>
    <row r="499" spans="6:7" ht="15.75" customHeight="1">
      <c r="F499" s="1"/>
      <c r="G499" s="1"/>
    </row>
    <row r="500" spans="6:7" ht="15.75" customHeight="1">
      <c r="F500" s="1"/>
      <c r="G500" s="1"/>
    </row>
    <row r="501" spans="6:7" ht="15.75" customHeight="1">
      <c r="F501" s="1"/>
      <c r="G501" s="1"/>
    </row>
    <row r="502" spans="6:7" ht="15.75" customHeight="1">
      <c r="F502" s="1"/>
      <c r="G502" s="1"/>
    </row>
    <row r="503" spans="6:7" ht="15.75" customHeight="1">
      <c r="F503" s="1"/>
      <c r="G503" s="1"/>
    </row>
    <row r="504" spans="6:7" ht="15.75" customHeight="1">
      <c r="F504" s="1"/>
      <c r="G504" s="1"/>
    </row>
    <row r="505" spans="6:7" ht="15.75" customHeight="1">
      <c r="F505" s="1"/>
      <c r="G505" s="1"/>
    </row>
    <row r="506" spans="6:7" ht="15.75" customHeight="1">
      <c r="F506" s="1"/>
      <c r="G506" s="1"/>
    </row>
    <row r="507" spans="6:7" ht="15.75" customHeight="1">
      <c r="F507" s="1"/>
      <c r="G507" s="1"/>
    </row>
    <row r="508" spans="6:7" ht="15.75" customHeight="1">
      <c r="F508" s="1"/>
      <c r="G508" s="1"/>
    </row>
    <row r="509" spans="6:7" ht="15.75" customHeight="1">
      <c r="F509" s="1"/>
      <c r="G509" s="1"/>
    </row>
    <row r="510" spans="6:7" ht="15.75" customHeight="1">
      <c r="F510" s="1"/>
      <c r="G510" s="1"/>
    </row>
    <row r="511" spans="6:7" ht="15.75" customHeight="1">
      <c r="F511" s="1"/>
      <c r="G511" s="1"/>
    </row>
    <row r="512" spans="6:7" ht="15.75" customHeight="1">
      <c r="F512" s="1"/>
      <c r="G512" s="1"/>
    </row>
    <row r="513" spans="6:7" ht="15.75" customHeight="1">
      <c r="F513" s="1"/>
      <c r="G513" s="1"/>
    </row>
    <row r="514" spans="6:7" ht="15.75" customHeight="1">
      <c r="F514" s="1"/>
      <c r="G514" s="1"/>
    </row>
    <row r="515" spans="6:7" ht="15.75" customHeight="1">
      <c r="F515" s="1"/>
      <c r="G515" s="1"/>
    </row>
    <row r="516" spans="6:7" ht="15.75" customHeight="1">
      <c r="F516" s="1"/>
      <c r="G516" s="1"/>
    </row>
    <row r="517" spans="6:7" ht="15.75" customHeight="1">
      <c r="F517" s="1"/>
      <c r="G517" s="1"/>
    </row>
    <row r="518" spans="6:7" ht="15.75" customHeight="1">
      <c r="F518" s="1"/>
      <c r="G518" s="1"/>
    </row>
    <row r="519" spans="6:7" ht="15.75" customHeight="1">
      <c r="F519" s="1"/>
      <c r="G519" s="1"/>
    </row>
    <row r="520" spans="6:7" ht="15.75" customHeight="1">
      <c r="F520" s="1"/>
      <c r="G520" s="1"/>
    </row>
    <row r="521" spans="6:7" ht="15.75" customHeight="1">
      <c r="F521" s="1"/>
      <c r="G521" s="1"/>
    </row>
    <row r="522" spans="6:7" ht="15.75" customHeight="1">
      <c r="F522" s="1"/>
      <c r="G522" s="1"/>
    </row>
    <row r="523" spans="6:7" ht="15.75" customHeight="1">
      <c r="F523" s="1"/>
      <c r="G523" s="1"/>
    </row>
    <row r="524" spans="6:7" ht="15.75" customHeight="1">
      <c r="F524" s="1"/>
      <c r="G524" s="1"/>
    </row>
    <row r="525" spans="6:7" ht="15.75" customHeight="1">
      <c r="F525" s="1"/>
      <c r="G525" s="1"/>
    </row>
    <row r="526" spans="6:7" ht="15.75" customHeight="1">
      <c r="F526" s="1"/>
      <c r="G526" s="1"/>
    </row>
    <row r="527" spans="6:7" ht="15.75" customHeight="1">
      <c r="F527" s="1"/>
      <c r="G527" s="1"/>
    </row>
    <row r="528" spans="6:7" ht="15.75" customHeight="1">
      <c r="F528" s="1"/>
      <c r="G528" s="1"/>
    </row>
    <row r="529" spans="6:7" ht="15.75" customHeight="1">
      <c r="F529" s="1"/>
      <c r="G529" s="1"/>
    </row>
    <row r="530" spans="6:7" ht="15.75" customHeight="1">
      <c r="F530" s="1"/>
      <c r="G530" s="1"/>
    </row>
    <row r="531" spans="6:7" ht="15.75" customHeight="1">
      <c r="F531" s="1"/>
      <c r="G531" s="1"/>
    </row>
    <row r="532" spans="6:7" ht="15.75" customHeight="1">
      <c r="F532" s="1"/>
      <c r="G532" s="1"/>
    </row>
    <row r="533" spans="6:7" ht="15.75" customHeight="1">
      <c r="F533" s="1"/>
      <c r="G533" s="1"/>
    </row>
    <row r="534" spans="6:7" ht="15.75" customHeight="1">
      <c r="F534" s="1"/>
      <c r="G534" s="1"/>
    </row>
    <row r="535" spans="6:7" ht="15.75" customHeight="1">
      <c r="F535" s="1"/>
      <c r="G535" s="1"/>
    </row>
    <row r="536" spans="6:7" ht="15.75" customHeight="1">
      <c r="F536" s="1"/>
      <c r="G536" s="1"/>
    </row>
    <row r="537" spans="6:7" ht="15.75" customHeight="1">
      <c r="F537" s="1"/>
      <c r="G537" s="1"/>
    </row>
    <row r="538" spans="6:7" ht="15.75" customHeight="1">
      <c r="F538" s="1"/>
      <c r="G538" s="1"/>
    </row>
    <row r="539" spans="6:7" ht="15.75" customHeight="1">
      <c r="F539" s="1"/>
      <c r="G539" s="1"/>
    </row>
    <row r="540" spans="6:7" ht="15.75" customHeight="1">
      <c r="F540" s="1"/>
      <c r="G540" s="1"/>
    </row>
    <row r="541" spans="6:7" ht="15.75" customHeight="1">
      <c r="F541" s="1"/>
      <c r="G541" s="1"/>
    </row>
    <row r="542" spans="6:7" ht="15.75" customHeight="1">
      <c r="F542" s="1"/>
      <c r="G542" s="1"/>
    </row>
    <row r="543" spans="6:7" ht="15.75" customHeight="1">
      <c r="F543" s="1"/>
      <c r="G543" s="1"/>
    </row>
    <row r="544" spans="6:7" ht="15.75" customHeight="1">
      <c r="F544" s="1"/>
      <c r="G544" s="1"/>
    </row>
    <row r="545" spans="6:7" ht="15.75" customHeight="1">
      <c r="F545" s="1"/>
      <c r="G545" s="1"/>
    </row>
    <row r="546" spans="6:7" ht="15.75" customHeight="1">
      <c r="F546" s="1"/>
      <c r="G546" s="1"/>
    </row>
    <row r="547" spans="6:7" ht="15.75" customHeight="1">
      <c r="F547" s="1"/>
      <c r="G547" s="1"/>
    </row>
    <row r="548" spans="6:7" ht="15.75" customHeight="1">
      <c r="F548" s="1"/>
      <c r="G548" s="1"/>
    </row>
    <row r="549" spans="6:7" ht="15.75" customHeight="1">
      <c r="F549" s="1"/>
      <c r="G549" s="1"/>
    </row>
    <row r="550" spans="6:7" ht="15.75" customHeight="1">
      <c r="F550" s="1"/>
      <c r="G550" s="1"/>
    </row>
    <row r="551" spans="6:7" ht="15.75" customHeight="1">
      <c r="F551" s="1"/>
      <c r="G551" s="1"/>
    </row>
    <row r="552" spans="6:7" ht="15.75" customHeight="1">
      <c r="F552" s="1"/>
      <c r="G552" s="1"/>
    </row>
    <row r="553" spans="6:7" ht="15.75" customHeight="1">
      <c r="F553" s="1"/>
      <c r="G553" s="1"/>
    </row>
    <row r="554" spans="6:7" ht="15.75" customHeight="1">
      <c r="F554" s="1"/>
      <c r="G554" s="1"/>
    </row>
    <row r="555" spans="6:7" ht="15.75" customHeight="1">
      <c r="F555" s="1"/>
      <c r="G555" s="1"/>
    </row>
    <row r="556" spans="6:7" ht="15.75" customHeight="1">
      <c r="F556" s="1"/>
      <c r="G556" s="1"/>
    </row>
    <row r="557" spans="6:7" ht="15.75" customHeight="1">
      <c r="F557" s="1"/>
      <c r="G557" s="1"/>
    </row>
    <row r="558" spans="6:7" ht="15.75" customHeight="1">
      <c r="F558" s="1"/>
      <c r="G558" s="1"/>
    </row>
    <row r="559" spans="6:7" ht="15.75" customHeight="1">
      <c r="F559" s="1"/>
      <c r="G559" s="1"/>
    </row>
    <row r="560" spans="6:7" ht="15.75" customHeight="1">
      <c r="F560" s="1"/>
      <c r="G560" s="1"/>
    </row>
    <row r="561" spans="6:7" ht="15.75" customHeight="1">
      <c r="F561" s="1"/>
      <c r="G561" s="1"/>
    </row>
    <row r="562" spans="6:7" ht="15.75" customHeight="1">
      <c r="F562" s="1"/>
      <c r="G562" s="1"/>
    </row>
    <row r="563" spans="6:7" ht="15.75" customHeight="1">
      <c r="F563" s="1"/>
      <c r="G563" s="1"/>
    </row>
    <row r="564" spans="6:7" ht="15.75" customHeight="1">
      <c r="F564" s="1"/>
      <c r="G564" s="1"/>
    </row>
    <row r="565" spans="6:7" ht="15.75" customHeight="1">
      <c r="F565" s="1"/>
      <c r="G565" s="1"/>
    </row>
    <row r="566" spans="6:7" ht="15.75" customHeight="1">
      <c r="F566" s="1"/>
      <c r="G566" s="1"/>
    </row>
    <row r="567" spans="6:7" ht="15.75" customHeight="1">
      <c r="F567" s="1"/>
      <c r="G567" s="1"/>
    </row>
    <row r="568" spans="6:7" ht="15.75" customHeight="1">
      <c r="F568" s="1"/>
      <c r="G568" s="1"/>
    </row>
    <row r="569" spans="6:7" ht="15.75" customHeight="1">
      <c r="F569" s="1"/>
      <c r="G569" s="1"/>
    </row>
    <row r="570" spans="6:7" ht="15.75" customHeight="1">
      <c r="F570" s="1"/>
      <c r="G570" s="1"/>
    </row>
    <row r="571" spans="6:7" ht="15.75" customHeight="1">
      <c r="F571" s="1"/>
      <c r="G571" s="1"/>
    </row>
    <row r="572" spans="6:7" ht="15.75" customHeight="1">
      <c r="F572" s="1"/>
      <c r="G572" s="1"/>
    </row>
    <row r="573" spans="6:7" ht="15.75" customHeight="1">
      <c r="F573" s="1"/>
      <c r="G573" s="1"/>
    </row>
    <row r="574" spans="6:7" ht="15.75" customHeight="1">
      <c r="F574" s="1"/>
      <c r="G574" s="1"/>
    </row>
    <row r="575" spans="6:7" ht="15.75" customHeight="1">
      <c r="F575" s="1"/>
      <c r="G575" s="1"/>
    </row>
    <row r="576" spans="6:7" ht="15.75" customHeight="1">
      <c r="F576" s="1"/>
      <c r="G576" s="1"/>
    </row>
    <row r="577" spans="6:7" ht="15.75" customHeight="1">
      <c r="F577" s="1"/>
      <c r="G577" s="1"/>
    </row>
    <row r="578" spans="6:7" ht="15.75" customHeight="1">
      <c r="F578" s="1"/>
      <c r="G578" s="1"/>
    </row>
    <row r="579" spans="6:7" ht="15.75" customHeight="1">
      <c r="F579" s="1"/>
      <c r="G579" s="1"/>
    </row>
    <row r="580" spans="6:7" ht="15.75" customHeight="1">
      <c r="F580" s="1"/>
      <c r="G580" s="1"/>
    </row>
    <row r="581" spans="6:7" ht="15.75" customHeight="1">
      <c r="F581" s="1"/>
      <c r="G581" s="1"/>
    </row>
    <row r="582" spans="6:7" ht="15.75" customHeight="1">
      <c r="F582" s="1"/>
      <c r="G582" s="1"/>
    </row>
    <row r="583" spans="6:7" ht="15.75" customHeight="1">
      <c r="F583" s="1"/>
      <c r="G583" s="1"/>
    </row>
    <row r="584" spans="6:7" ht="15.75" customHeight="1">
      <c r="F584" s="1"/>
      <c r="G584" s="1"/>
    </row>
    <row r="585" spans="6:7" ht="15.75" customHeight="1">
      <c r="F585" s="1"/>
      <c r="G585" s="1"/>
    </row>
    <row r="586" spans="6:7" ht="15.75" customHeight="1">
      <c r="F586" s="1"/>
      <c r="G586" s="1"/>
    </row>
    <row r="587" spans="6:7" ht="15.75" customHeight="1">
      <c r="F587" s="1"/>
      <c r="G587" s="1"/>
    </row>
    <row r="588" spans="6:7" ht="15.75" customHeight="1">
      <c r="F588" s="1"/>
      <c r="G588" s="1"/>
    </row>
    <row r="589" spans="6:7" ht="15.75" customHeight="1">
      <c r="F589" s="1"/>
      <c r="G589" s="1"/>
    </row>
    <row r="590" spans="6:7" ht="15.75" customHeight="1">
      <c r="F590" s="1"/>
      <c r="G590" s="1"/>
    </row>
    <row r="591" spans="6:7" ht="15.75" customHeight="1">
      <c r="F591" s="1"/>
      <c r="G591" s="1"/>
    </row>
    <row r="592" spans="6:7" ht="15.75" customHeight="1">
      <c r="F592" s="1"/>
      <c r="G592" s="1"/>
    </row>
    <row r="593" spans="6:7" ht="15.75" customHeight="1">
      <c r="F593" s="1"/>
      <c r="G593" s="1"/>
    </row>
    <row r="594" spans="6:7" ht="15.75" customHeight="1">
      <c r="F594" s="1"/>
      <c r="G594" s="1"/>
    </row>
    <row r="595" spans="6:7" ht="15.75" customHeight="1">
      <c r="F595" s="1"/>
      <c r="G595" s="1"/>
    </row>
    <row r="596" spans="6:7" ht="15.75" customHeight="1">
      <c r="F596" s="1"/>
      <c r="G596" s="1"/>
    </row>
    <row r="597" spans="6:7" ht="15.75" customHeight="1">
      <c r="F597" s="1"/>
      <c r="G597" s="1"/>
    </row>
    <row r="598" spans="6:7" ht="15.75" customHeight="1">
      <c r="F598" s="1"/>
      <c r="G598" s="1"/>
    </row>
    <row r="599" spans="6:7" ht="15.75" customHeight="1">
      <c r="F599" s="1"/>
      <c r="G599" s="1"/>
    </row>
    <row r="600" spans="6:7" ht="15.75" customHeight="1">
      <c r="F600" s="1"/>
      <c r="G600" s="1"/>
    </row>
    <row r="601" spans="6:7" ht="15.75" customHeight="1">
      <c r="F601" s="1"/>
      <c r="G601" s="1"/>
    </row>
    <row r="602" spans="6:7" ht="15.75" customHeight="1">
      <c r="F602" s="1"/>
      <c r="G602" s="1"/>
    </row>
    <row r="603" spans="6:7" ht="15.75" customHeight="1">
      <c r="F603" s="1"/>
      <c r="G603" s="1"/>
    </row>
    <row r="604" spans="6:7" ht="15.75" customHeight="1">
      <c r="F604" s="1"/>
      <c r="G604" s="1"/>
    </row>
    <row r="605" spans="6:7" ht="15.75" customHeight="1">
      <c r="F605" s="1"/>
      <c r="G605" s="1"/>
    </row>
    <row r="606" spans="6:7" ht="15.75" customHeight="1">
      <c r="F606" s="1"/>
      <c r="G606" s="1"/>
    </row>
    <row r="607" spans="6:7" ht="15.75" customHeight="1">
      <c r="F607" s="1"/>
      <c r="G607" s="1"/>
    </row>
    <row r="608" spans="6:7" ht="15.75" customHeight="1">
      <c r="F608" s="1"/>
      <c r="G608" s="1"/>
    </row>
    <row r="609" spans="6:7" ht="15.75" customHeight="1">
      <c r="F609" s="1"/>
      <c r="G609" s="1"/>
    </row>
    <row r="610" spans="6:7" ht="15.75" customHeight="1">
      <c r="F610" s="1"/>
      <c r="G610" s="1"/>
    </row>
    <row r="611" spans="6:7" ht="15.75" customHeight="1">
      <c r="F611" s="1"/>
      <c r="G611" s="1"/>
    </row>
    <row r="612" spans="6:7" ht="15.75" customHeight="1">
      <c r="F612" s="1"/>
      <c r="G612" s="1"/>
    </row>
    <row r="613" spans="6:7" ht="15.75" customHeight="1">
      <c r="F613" s="1"/>
      <c r="G613" s="1"/>
    </row>
    <row r="614" spans="6:7" ht="15.75" customHeight="1">
      <c r="F614" s="1"/>
      <c r="G614" s="1"/>
    </row>
    <row r="615" spans="6:7" ht="15.75" customHeight="1">
      <c r="F615" s="1"/>
      <c r="G615" s="1"/>
    </row>
    <row r="616" spans="6:7" ht="15.75" customHeight="1">
      <c r="F616" s="1"/>
      <c r="G616" s="1"/>
    </row>
    <row r="617" spans="6:7" ht="15.75" customHeight="1">
      <c r="F617" s="1"/>
      <c r="G617" s="1"/>
    </row>
    <row r="618" spans="6:7" ht="15.75" customHeight="1">
      <c r="F618" s="1"/>
      <c r="G618" s="1"/>
    </row>
    <row r="619" spans="6:7" ht="15.75" customHeight="1">
      <c r="F619" s="1"/>
      <c r="G619" s="1"/>
    </row>
    <row r="620" spans="6:7" ht="15.75" customHeight="1">
      <c r="F620" s="1"/>
      <c r="G620" s="1"/>
    </row>
    <row r="621" spans="6:7" ht="15.75" customHeight="1">
      <c r="F621" s="1"/>
      <c r="G621" s="1"/>
    </row>
    <row r="622" spans="6:7" ht="15.75" customHeight="1">
      <c r="F622" s="1"/>
      <c r="G622" s="1"/>
    </row>
    <row r="623" spans="6:7" ht="15.75" customHeight="1">
      <c r="F623" s="1"/>
      <c r="G623" s="1"/>
    </row>
    <row r="624" spans="6:7" ht="15.75" customHeight="1">
      <c r="F624" s="1"/>
      <c r="G624" s="1"/>
    </row>
    <row r="625" spans="6:7" ht="15.75" customHeight="1">
      <c r="F625" s="1"/>
      <c r="G625" s="1"/>
    </row>
    <row r="626" spans="6:7" ht="15.75" customHeight="1">
      <c r="F626" s="1"/>
      <c r="G626" s="1"/>
    </row>
    <row r="627" spans="6:7" ht="15.75" customHeight="1">
      <c r="F627" s="1"/>
      <c r="G627" s="1"/>
    </row>
    <row r="628" spans="6:7" ht="15.75" customHeight="1">
      <c r="F628" s="1"/>
      <c r="G628" s="1"/>
    </row>
    <row r="629" spans="6:7" ht="15.75" customHeight="1">
      <c r="F629" s="1"/>
      <c r="G629" s="1"/>
    </row>
    <row r="630" spans="6:7" ht="15.75" customHeight="1">
      <c r="F630" s="1"/>
      <c r="G630" s="1"/>
    </row>
    <row r="631" spans="6:7" ht="15.75" customHeight="1">
      <c r="F631" s="1"/>
      <c r="G631" s="1"/>
    </row>
    <row r="632" spans="6:7" ht="15.75" customHeight="1">
      <c r="F632" s="1"/>
      <c r="G632" s="1"/>
    </row>
    <row r="633" spans="6:7" ht="15.75" customHeight="1">
      <c r="F633" s="1"/>
      <c r="G633" s="1"/>
    </row>
    <row r="634" spans="6:7" ht="15.75" customHeight="1">
      <c r="F634" s="1"/>
      <c r="G634" s="1"/>
    </row>
    <row r="635" spans="6:7" ht="15.75" customHeight="1">
      <c r="F635" s="1"/>
      <c r="G635" s="1"/>
    </row>
    <row r="636" spans="6:7" ht="15.75" customHeight="1">
      <c r="F636" s="1"/>
      <c r="G636" s="1"/>
    </row>
    <row r="637" spans="6:7" ht="15.75" customHeight="1">
      <c r="F637" s="1"/>
      <c r="G637" s="1"/>
    </row>
    <row r="638" spans="6:7" ht="15.75" customHeight="1">
      <c r="F638" s="1"/>
      <c r="G638" s="1"/>
    </row>
    <row r="639" spans="6:7" ht="15.75" customHeight="1">
      <c r="F639" s="1"/>
      <c r="G639" s="1"/>
    </row>
    <row r="640" spans="6:7" ht="15.75" customHeight="1">
      <c r="F640" s="1"/>
      <c r="G640" s="1"/>
    </row>
    <row r="641" spans="6:7" ht="15.75" customHeight="1">
      <c r="F641" s="1"/>
      <c r="G641" s="1"/>
    </row>
    <row r="642" spans="6:7" ht="15.75" customHeight="1">
      <c r="F642" s="1"/>
      <c r="G642" s="1"/>
    </row>
    <row r="643" spans="6:7" ht="15.75" customHeight="1">
      <c r="F643" s="1"/>
      <c r="G643" s="1"/>
    </row>
    <row r="644" spans="6:7" ht="15.75" customHeight="1">
      <c r="F644" s="1"/>
      <c r="G644" s="1"/>
    </row>
    <row r="645" spans="6:7" ht="15.75" customHeight="1">
      <c r="F645" s="1"/>
      <c r="G645" s="1"/>
    </row>
    <row r="646" spans="6:7" ht="15.75" customHeight="1">
      <c r="F646" s="1"/>
      <c r="G646" s="1"/>
    </row>
    <row r="647" spans="6:7" ht="15.75" customHeight="1">
      <c r="F647" s="1"/>
      <c r="G647" s="1"/>
    </row>
    <row r="648" spans="6:7" ht="15.75" customHeight="1">
      <c r="F648" s="1"/>
      <c r="G648" s="1"/>
    </row>
    <row r="649" spans="6:7" ht="15.75" customHeight="1">
      <c r="F649" s="1"/>
      <c r="G649" s="1"/>
    </row>
    <row r="650" spans="6:7" ht="15.75" customHeight="1">
      <c r="F650" s="1"/>
      <c r="G650" s="1"/>
    </row>
    <row r="651" spans="6:7" ht="15.75" customHeight="1">
      <c r="F651" s="1"/>
      <c r="G651" s="1"/>
    </row>
    <row r="652" spans="6:7" ht="15.75" customHeight="1">
      <c r="F652" s="1"/>
      <c r="G652" s="1"/>
    </row>
    <row r="653" spans="6:7" ht="15.75" customHeight="1">
      <c r="F653" s="1"/>
      <c r="G653" s="1"/>
    </row>
    <row r="654" spans="6:7" ht="15.75" customHeight="1">
      <c r="F654" s="1"/>
      <c r="G654" s="1"/>
    </row>
    <row r="655" spans="6:7" ht="15.75" customHeight="1">
      <c r="F655" s="1"/>
      <c r="G655" s="1"/>
    </row>
    <row r="656" spans="6:7" ht="15.75" customHeight="1">
      <c r="F656" s="1"/>
      <c r="G656" s="1"/>
    </row>
    <row r="657" spans="6:7" ht="15.75" customHeight="1">
      <c r="F657" s="1"/>
      <c r="G657" s="1"/>
    </row>
    <row r="658" spans="6:7" ht="15.75" customHeight="1">
      <c r="F658" s="1"/>
      <c r="G658" s="1"/>
    </row>
    <row r="659" spans="6:7" ht="15.75" customHeight="1">
      <c r="F659" s="1"/>
      <c r="G659" s="1"/>
    </row>
    <row r="660" spans="6:7" ht="15.75" customHeight="1">
      <c r="F660" s="1"/>
      <c r="G660" s="1"/>
    </row>
    <row r="661" spans="6:7" ht="15.75" customHeight="1">
      <c r="F661" s="1"/>
      <c r="G661" s="1"/>
    </row>
    <row r="662" spans="6:7" ht="15.75" customHeight="1">
      <c r="F662" s="1"/>
      <c r="G662" s="1"/>
    </row>
    <row r="663" spans="6:7" ht="15.75" customHeight="1">
      <c r="F663" s="1"/>
      <c r="G663" s="1"/>
    </row>
    <row r="664" spans="6:7" ht="15.75" customHeight="1">
      <c r="F664" s="1"/>
      <c r="G664" s="1"/>
    </row>
    <row r="665" spans="6:7" ht="15.75" customHeight="1">
      <c r="F665" s="1"/>
      <c r="G665" s="1"/>
    </row>
    <row r="666" spans="6:7" ht="15.75" customHeight="1">
      <c r="F666" s="1"/>
      <c r="G666" s="1"/>
    </row>
    <row r="667" spans="6:7" ht="15.75" customHeight="1">
      <c r="F667" s="1"/>
      <c r="G667" s="1"/>
    </row>
    <row r="668" spans="6:7" ht="15.75" customHeight="1">
      <c r="F668" s="1"/>
      <c r="G668" s="1"/>
    </row>
    <row r="669" spans="6:7" ht="15.75" customHeight="1">
      <c r="F669" s="1"/>
      <c r="G669" s="1"/>
    </row>
    <row r="670" spans="6:7" ht="15.75" customHeight="1">
      <c r="F670" s="1"/>
      <c r="G670" s="1"/>
    </row>
    <row r="671" spans="6:7" ht="15.75" customHeight="1">
      <c r="F671" s="1"/>
      <c r="G671" s="1"/>
    </row>
    <row r="672" spans="6:7" ht="15.75" customHeight="1">
      <c r="F672" s="1"/>
      <c r="G672" s="1"/>
    </row>
    <row r="673" spans="6:7" ht="15.75" customHeight="1">
      <c r="F673" s="1"/>
      <c r="G673" s="1"/>
    </row>
    <row r="674" spans="6:7" ht="15.75" customHeight="1">
      <c r="F674" s="1"/>
      <c r="G674" s="1"/>
    </row>
    <row r="675" spans="6:7" ht="15.75" customHeight="1">
      <c r="F675" s="1"/>
      <c r="G675" s="1"/>
    </row>
    <row r="676" spans="6:7" ht="15.75" customHeight="1">
      <c r="F676" s="1"/>
      <c r="G676" s="1"/>
    </row>
    <row r="677" spans="6:7" ht="15.75" customHeight="1">
      <c r="F677" s="1"/>
      <c r="G677" s="1"/>
    </row>
    <row r="678" spans="6:7" ht="15.75" customHeight="1">
      <c r="F678" s="1"/>
      <c r="G678" s="1"/>
    </row>
    <row r="679" spans="6:7" ht="15.75" customHeight="1">
      <c r="F679" s="1"/>
      <c r="G679" s="1"/>
    </row>
    <row r="680" spans="6:7" ht="15.75" customHeight="1">
      <c r="F680" s="1"/>
      <c r="G680" s="1"/>
    </row>
    <row r="681" spans="6:7" ht="15.75" customHeight="1">
      <c r="F681" s="1"/>
      <c r="G681" s="1"/>
    </row>
    <row r="682" spans="6:7" ht="15.75" customHeight="1">
      <c r="F682" s="1"/>
      <c r="G682" s="1"/>
    </row>
    <row r="683" spans="6:7" ht="15.75" customHeight="1">
      <c r="F683" s="1"/>
      <c r="G683" s="1"/>
    </row>
    <row r="684" spans="6:7" ht="15.75" customHeight="1">
      <c r="F684" s="1"/>
      <c r="G684" s="1"/>
    </row>
    <row r="685" spans="6:7" ht="15.75" customHeight="1">
      <c r="F685" s="1"/>
      <c r="G685" s="1"/>
    </row>
    <row r="686" spans="6:7" ht="15.75" customHeight="1">
      <c r="F686" s="1"/>
      <c r="G686" s="1"/>
    </row>
    <row r="687" spans="6:7" ht="15.75" customHeight="1">
      <c r="F687" s="1"/>
      <c r="G687" s="1"/>
    </row>
    <row r="688" spans="6:7" ht="15.75" customHeight="1">
      <c r="F688" s="1"/>
      <c r="G688" s="1"/>
    </row>
    <row r="689" spans="6:7" ht="15.75" customHeight="1">
      <c r="F689" s="1"/>
      <c r="G689" s="1"/>
    </row>
    <row r="690" spans="6:7" ht="15.75" customHeight="1">
      <c r="F690" s="1"/>
      <c r="G690" s="1"/>
    </row>
    <row r="691" spans="6:7" ht="15.75" customHeight="1">
      <c r="F691" s="1"/>
      <c r="G691" s="1"/>
    </row>
    <row r="692" spans="6:7" ht="15.75" customHeight="1">
      <c r="F692" s="1"/>
      <c r="G692" s="1"/>
    </row>
    <row r="693" spans="6:7" ht="15.75" customHeight="1">
      <c r="F693" s="1"/>
      <c r="G693" s="1"/>
    </row>
    <row r="694" spans="6:7" ht="15.75" customHeight="1">
      <c r="F694" s="1"/>
      <c r="G694" s="1"/>
    </row>
    <row r="695" spans="6:7" ht="15.75" customHeight="1">
      <c r="F695" s="1"/>
      <c r="G695" s="1"/>
    </row>
    <row r="696" spans="6:7" ht="15.75" customHeight="1">
      <c r="F696" s="1"/>
      <c r="G696" s="1"/>
    </row>
    <row r="697" spans="6:7" ht="15.75" customHeight="1">
      <c r="F697" s="1"/>
      <c r="G697" s="1"/>
    </row>
    <row r="698" spans="6:7" ht="15.75" customHeight="1">
      <c r="F698" s="1"/>
      <c r="G698" s="1"/>
    </row>
    <row r="699" spans="6:7" ht="15.75" customHeight="1">
      <c r="F699" s="1"/>
      <c r="G699" s="1"/>
    </row>
    <row r="700" spans="6:7" ht="15.75" customHeight="1">
      <c r="F700" s="1"/>
      <c r="G700" s="1"/>
    </row>
    <row r="701" spans="6:7" ht="15.75" customHeight="1">
      <c r="F701" s="1"/>
      <c r="G701" s="1"/>
    </row>
    <row r="702" spans="6:7" ht="15.75" customHeight="1">
      <c r="F702" s="1"/>
      <c r="G702" s="1"/>
    </row>
    <row r="703" spans="6:7" ht="15.75" customHeight="1">
      <c r="F703" s="1"/>
      <c r="G703" s="1"/>
    </row>
    <row r="704" spans="6:7" ht="15.75" customHeight="1">
      <c r="F704" s="1"/>
      <c r="G704" s="1"/>
    </row>
    <row r="705" spans="6:7" ht="15.75" customHeight="1">
      <c r="F705" s="1"/>
      <c r="G705" s="1"/>
    </row>
    <row r="706" spans="6:7" ht="15.75" customHeight="1">
      <c r="F706" s="1"/>
      <c r="G706" s="1"/>
    </row>
    <row r="707" spans="6:7" ht="15.75" customHeight="1">
      <c r="F707" s="1"/>
      <c r="G707" s="1"/>
    </row>
    <row r="708" spans="6:7" ht="15.75" customHeight="1">
      <c r="F708" s="1"/>
      <c r="G708" s="1"/>
    </row>
    <row r="709" spans="6:7" ht="15.75" customHeight="1">
      <c r="F709" s="1"/>
      <c r="G709" s="1"/>
    </row>
    <row r="710" spans="6:7" ht="15.75" customHeight="1">
      <c r="F710" s="1"/>
      <c r="G710" s="1"/>
    </row>
    <row r="711" spans="6:7" ht="15.75" customHeight="1">
      <c r="F711" s="1"/>
      <c r="G711" s="1"/>
    </row>
    <row r="712" spans="6:7" ht="15.75" customHeight="1">
      <c r="F712" s="1"/>
      <c r="G712" s="1"/>
    </row>
    <row r="713" spans="6:7" ht="15.75" customHeight="1">
      <c r="F713" s="1"/>
      <c r="G713" s="1"/>
    </row>
    <row r="714" spans="6:7" ht="15.75" customHeight="1">
      <c r="F714" s="1"/>
      <c r="G714" s="1"/>
    </row>
    <row r="715" spans="6:7" ht="15.75" customHeight="1">
      <c r="F715" s="1"/>
      <c r="G715" s="1"/>
    </row>
    <row r="716" spans="6:7" ht="15.75" customHeight="1">
      <c r="F716" s="1"/>
      <c r="G716" s="1"/>
    </row>
    <row r="717" spans="6:7" ht="15.75" customHeight="1">
      <c r="F717" s="1"/>
      <c r="G717" s="1"/>
    </row>
    <row r="718" spans="6:7" ht="15.75" customHeight="1">
      <c r="F718" s="1"/>
      <c r="G718" s="1"/>
    </row>
    <row r="719" spans="6:7" ht="15.75" customHeight="1">
      <c r="F719" s="1"/>
      <c r="G719" s="1"/>
    </row>
    <row r="720" spans="6:7" ht="15.75" customHeight="1">
      <c r="F720" s="1"/>
      <c r="G720" s="1"/>
    </row>
    <row r="721" spans="6:7" ht="15.75" customHeight="1">
      <c r="F721" s="1"/>
      <c r="G721" s="1"/>
    </row>
    <row r="722" spans="6:7" ht="15.75" customHeight="1">
      <c r="F722" s="1"/>
      <c r="G722" s="1"/>
    </row>
    <row r="723" spans="6:7" ht="15.75" customHeight="1">
      <c r="F723" s="1"/>
      <c r="G723" s="1"/>
    </row>
    <row r="724" spans="6:7" ht="15.75" customHeight="1">
      <c r="F724" s="1"/>
      <c r="G724" s="1"/>
    </row>
    <row r="725" spans="6:7" ht="15.75" customHeight="1">
      <c r="F725" s="1"/>
      <c r="G725" s="1"/>
    </row>
    <row r="726" spans="6:7" ht="15.75" customHeight="1">
      <c r="F726" s="1"/>
      <c r="G726" s="1"/>
    </row>
    <row r="727" spans="6:7" ht="15.75" customHeight="1">
      <c r="F727" s="1"/>
      <c r="G727" s="1"/>
    </row>
    <row r="728" spans="6:7" ht="15.75" customHeight="1">
      <c r="F728" s="1"/>
      <c r="G728" s="1"/>
    </row>
    <row r="729" spans="6:7" ht="15.75" customHeight="1">
      <c r="F729" s="1"/>
      <c r="G729" s="1"/>
    </row>
    <row r="730" spans="6:7" ht="15.75" customHeight="1">
      <c r="F730" s="1"/>
      <c r="G730" s="1"/>
    </row>
    <row r="731" spans="6:7" ht="15.75" customHeight="1">
      <c r="F731" s="1"/>
      <c r="G731" s="1"/>
    </row>
    <row r="732" spans="6:7" ht="15.75" customHeight="1">
      <c r="F732" s="1"/>
      <c r="G732" s="1"/>
    </row>
    <row r="733" spans="6:7" ht="15.75" customHeight="1">
      <c r="F733" s="1"/>
      <c r="G733" s="1"/>
    </row>
    <row r="734" spans="6:7" ht="15.75" customHeight="1">
      <c r="F734" s="1"/>
      <c r="G734" s="1"/>
    </row>
    <row r="735" spans="6:7" ht="15.75" customHeight="1">
      <c r="F735" s="1"/>
      <c r="G735" s="1"/>
    </row>
    <row r="736" spans="6:7" ht="15.75" customHeight="1">
      <c r="F736" s="1"/>
      <c r="G736" s="1"/>
    </row>
    <row r="737" spans="6:7" ht="15.75" customHeight="1">
      <c r="F737" s="1"/>
      <c r="G737" s="1"/>
    </row>
    <row r="738" spans="6:7" ht="15.75" customHeight="1">
      <c r="F738" s="1"/>
      <c r="G738" s="1"/>
    </row>
    <row r="739" spans="6:7" ht="15.75" customHeight="1">
      <c r="F739" s="1"/>
      <c r="G739" s="1"/>
    </row>
    <row r="740" spans="6:7" ht="15.75" customHeight="1">
      <c r="F740" s="1"/>
      <c r="G740" s="1"/>
    </row>
    <row r="741" spans="6:7" ht="15.75" customHeight="1">
      <c r="F741" s="1"/>
      <c r="G741" s="1"/>
    </row>
    <row r="742" spans="6:7" ht="15.75" customHeight="1">
      <c r="F742" s="1"/>
      <c r="G742" s="1"/>
    </row>
    <row r="743" spans="6:7" ht="15.75" customHeight="1">
      <c r="F743" s="1"/>
      <c r="G743" s="1"/>
    </row>
    <row r="744" spans="6:7" ht="15.75" customHeight="1">
      <c r="F744" s="1"/>
      <c r="G744" s="1"/>
    </row>
    <row r="745" spans="6:7" ht="15.75" customHeight="1">
      <c r="F745" s="1"/>
      <c r="G745" s="1"/>
    </row>
    <row r="746" spans="6:7" ht="15.75" customHeight="1">
      <c r="F746" s="1"/>
      <c r="G746" s="1"/>
    </row>
    <row r="747" spans="6:7" ht="15.75" customHeight="1">
      <c r="F747" s="1"/>
      <c r="G747" s="1"/>
    </row>
    <row r="748" spans="6:7" ht="15.75" customHeight="1">
      <c r="F748" s="1"/>
      <c r="G748" s="1"/>
    </row>
    <row r="749" spans="6:7" ht="15.75" customHeight="1">
      <c r="F749" s="1"/>
      <c r="G749" s="1"/>
    </row>
    <row r="750" spans="6:7" ht="15.75" customHeight="1">
      <c r="F750" s="1"/>
      <c r="G750" s="1"/>
    </row>
    <row r="751" spans="6:7" ht="15.75" customHeight="1">
      <c r="F751" s="1"/>
      <c r="G751" s="1"/>
    </row>
    <row r="752" spans="6:7" ht="15.75" customHeight="1">
      <c r="F752" s="1"/>
      <c r="G752" s="1"/>
    </row>
    <row r="753" spans="6:7" ht="15.75" customHeight="1">
      <c r="F753" s="1"/>
      <c r="G753" s="1"/>
    </row>
    <row r="754" spans="6:7" ht="15.75" customHeight="1">
      <c r="F754" s="1"/>
      <c r="G754" s="1"/>
    </row>
    <row r="755" spans="6:7" ht="15.75" customHeight="1">
      <c r="F755" s="1"/>
      <c r="G755" s="1"/>
    </row>
    <row r="756" spans="6:7" ht="15.75" customHeight="1">
      <c r="F756" s="1"/>
      <c r="G756" s="1"/>
    </row>
    <row r="757" spans="6:7" ht="15.75" customHeight="1">
      <c r="F757" s="1"/>
      <c r="G757" s="1"/>
    </row>
    <row r="758" spans="6:7" ht="15.75" customHeight="1">
      <c r="F758" s="1"/>
      <c r="G758" s="1"/>
    </row>
    <row r="759" spans="6:7" ht="15.75" customHeight="1">
      <c r="F759" s="1"/>
      <c r="G759" s="1"/>
    </row>
    <row r="760" spans="6:7" ht="15.75" customHeight="1">
      <c r="F760" s="1"/>
      <c r="G760" s="1"/>
    </row>
    <row r="761" spans="6:7" ht="15.75" customHeight="1">
      <c r="F761" s="1"/>
      <c r="G761" s="1"/>
    </row>
    <row r="762" spans="6:7" ht="15.75" customHeight="1">
      <c r="F762" s="1"/>
      <c r="G762" s="1"/>
    </row>
    <row r="763" spans="6:7" ht="15.75" customHeight="1">
      <c r="F763" s="1"/>
      <c r="G763" s="1"/>
    </row>
    <row r="764" spans="6:7" ht="15.75" customHeight="1">
      <c r="F764" s="1"/>
      <c r="G764" s="1"/>
    </row>
    <row r="765" spans="6:7" ht="15.75" customHeight="1">
      <c r="F765" s="1"/>
      <c r="G765" s="1"/>
    </row>
    <row r="766" spans="6:7" ht="15.75" customHeight="1">
      <c r="F766" s="1"/>
      <c r="G766" s="1"/>
    </row>
    <row r="767" spans="6:7" ht="15.75" customHeight="1">
      <c r="F767" s="1"/>
      <c r="G767" s="1"/>
    </row>
    <row r="768" spans="6:7" ht="15.75" customHeight="1">
      <c r="F768" s="1"/>
      <c r="G768" s="1"/>
    </row>
    <row r="769" spans="6:7" ht="15.75" customHeight="1">
      <c r="F769" s="1"/>
      <c r="G769" s="1"/>
    </row>
    <row r="770" spans="6:7" ht="15.75" customHeight="1">
      <c r="F770" s="1"/>
      <c r="G770" s="1"/>
    </row>
    <row r="771" spans="6:7" ht="15.75" customHeight="1">
      <c r="F771" s="1"/>
      <c r="G771" s="1"/>
    </row>
    <row r="772" spans="6:7" ht="15.75" customHeight="1">
      <c r="F772" s="1"/>
      <c r="G772" s="1"/>
    </row>
    <row r="773" spans="6:7" ht="15.75" customHeight="1">
      <c r="F773" s="1"/>
      <c r="G773" s="1"/>
    </row>
    <row r="774" spans="6:7" ht="15.75" customHeight="1">
      <c r="F774" s="1"/>
      <c r="G774" s="1"/>
    </row>
    <row r="775" spans="6:7" ht="15.75" customHeight="1">
      <c r="F775" s="1"/>
      <c r="G775" s="1"/>
    </row>
    <row r="776" spans="6:7" ht="15.75" customHeight="1">
      <c r="F776" s="1"/>
      <c r="G776" s="1"/>
    </row>
    <row r="777" spans="6:7" ht="15.75" customHeight="1">
      <c r="F777" s="1"/>
      <c r="G777" s="1"/>
    </row>
    <row r="778" spans="6:7" ht="15.75" customHeight="1">
      <c r="F778" s="1"/>
      <c r="G778" s="1"/>
    </row>
    <row r="779" spans="6:7" ht="15.75" customHeight="1">
      <c r="F779" s="1"/>
      <c r="G779" s="1"/>
    </row>
    <row r="780" spans="6:7" ht="15.75" customHeight="1">
      <c r="F780" s="1"/>
      <c r="G780" s="1"/>
    </row>
    <row r="781" spans="6:7" ht="15.75" customHeight="1">
      <c r="F781" s="1"/>
      <c r="G781" s="1"/>
    </row>
    <row r="782" spans="6:7" ht="15.75" customHeight="1">
      <c r="F782" s="1"/>
      <c r="G782" s="1"/>
    </row>
    <row r="783" spans="6:7" ht="15.75" customHeight="1">
      <c r="F783" s="1"/>
      <c r="G783" s="1"/>
    </row>
    <row r="784" spans="6:7" ht="15.75" customHeight="1">
      <c r="F784" s="1"/>
      <c r="G784" s="1"/>
    </row>
    <row r="785" spans="6:7" ht="15.75" customHeight="1">
      <c r="F785" s="1"/>
      <c r="G785" s="1"/>
    </row>
    <row r="786" spans="6:7" ht="15.75" customHeight="1">
      <c r="F786" s="1"/>
      <c r="G786" s="1"/>
    </row>
    <row r="787" spans="6:7" ht="15.75" customHeight="1">
      <c r="F787" s="1"/>
      <c r="G787" s="1"/>
    </row>
    <row r="788" spans="6:7" ht="15.75" customHeight="1">
      <c r="F788" s="1"/>
      <c r="G788" s="1"/>
    </row>
    <row r="789" spans="6:7" ht="15.75" customHeight="1">
      <c r="F789" s="1"/>
      <c r="G789" s="1"/>
    </row>
    <row r="790" spans="6:7" ht="15.75" customHeight="1">
      <c r="F790" s="1"/>
      <c r="G790" s="1"/>
    </row>
    <row r="791" spans="6:7" ht="15.75" customHeight="1">
      <c r="F791" s="1"/>
      <c r="G791" s="1"/>
    </row>
    <row r="792" spans="6:7" ht="15.75" customHeight="1">
      <c r="F792" s="1"/>
      <c r="G792" s="1"/>
    </row>
    <row r="793" spans="6:7" ht="15.75" customHeight="1">
      <c r="F793" s="1"/>
      <c r="G793" s="1"/>
    </row>
    <row r="794" spans="6:7" ht="15.75" customHeight="1">
      <c r="F794" s="1"/>
      <c r="G794" s="1"/>
    </row>
    <row r="795" spans="6:7" ht="15.75" customHeight="1">
      <c r="F795" s="1"/>
      <c r="G795" s="1"/>
    </row>
    <row r="796" spans="6:7" ht="15.75" customHeight="1">
      <c r="F796" s="1"/>
      <c r="G796" s="1"/>
    </row>
    <row r="797" spans="6:7" ht="15.75" customHeight="1">
      <c r="F797" s="1"/>
      <c r="G797" s="1"/>
    </row>
    <row r="798" spans="6:7" ht="15.75" customHeight="1">
      <c r="F798" s="1"/>
      <c r="G798" s="1"/>
    </row>
    <row r="799" spans="6:7" ht="15.75" customHeight="1">
      <c r="F799" s="1"/>
      <c r="G799" s="1"/>
    </row>
    <row r="800" spans="6:7" ht="15.75" customHeight="1">
      <c r="F800" s="1"/>
      <c r="G800" s="1"/>
    </row>
    <row r="801" spans="6:7" ht="15.75" customHeight="1">
      <c r="F801" s="1"/>
      <c r="G801" s="1"/>
    </row>
    <row r="802" spans="6:7" ht="15.75" customHeight="1">
      <c r="F802" s="1"/>
      <c r="G802" s="1"/>
    </row>
    <row r="803" spans="6:7" ht="15.75" customHeight="1">
      <c r="F803" s="1"/>
      <c r="G803" s="1"/>
    </row>
    <row r="804" spans="6:7" ht="15.75" customHeight="1">
      <c r="F804" s="1"/>
      <c r="G804" s="1"/>
    </row>
    <row r="805" spans="6:7" ht="15.75" customHeight="1">
      <c r="F805" s="1"/>
      <c r="G805" s="1"/>
    </row>
    <row r="806" spans="6:7" ht="15.75" customHeight="1">
      <c r="F806" s="1"/>
      <c r="G806" s="1"/>
    </row>
    <row r="807" spans="6:7" ht="15.75" customHeight="1">
      <c r="F807" s="1"/>
      <c r="G807" s="1"/>
    </row>
    <row r="808" spans="6:7" ht="15.75" customHeight="1">
      <c r="F808" s="1"/>
      <c r="G808" s="1"/>
    </row>
    <row r="809" spans="6:7" ht="15.75" customHeight="1">
      <c r="F809" s="1"/>
      <c r="G809" s="1"/>
    </row>
    <row r="810" spans="6:7" ht="15.75" customHeight="1">
      <c r="F810" s="1"/>
      <c r="G810" s="1"/>
    </row>
    <row r="811" spans="6:7" ht="15.75" customHeight="1">
      <c r="F811" s="1"/>
      <c r="G811" s="1"/>
    </row>
    <row r="812" spans="6:7" ht="15.75" customHeight="1">
      <c r="F812" s="1"/>
      <c r="G812" s="1"/>
    </row>
    <row r="813" spans="6:7" ht="15.75" customHeight="1">
      <c r="F813" s="1"/>
      <c r="G813" s="1"/>
    </row>
    <row r="814" spans="6:7" ht="15.75" customHeight="1">
      <c r="F814" s="1"/>
      <c r="G814" s="1"/>
    </row>
    <row r="815" spans="6:7" ht="15.75" customHeight="1">
      <c r="F815" s="1"/>
      <c r="G815" s="1"/>
    </row>
    <row r="816" spans="6:7" ht="15.75" customHeight="1">
      <c r="F816" s="1"/>
      <c r="G816" s="1"/>
    </row>
    <row r="817" spans="6:7" ht="15.75" customHeight="1">
      <c r="F817" s="1"/>
      <c r="G817" s="1"/>
    </row>
    <row r="818" spans="6:7" ht="15.75" customHeight="1">
      <c r="F818" s="1"/>
      <c r="G818" s="1"/>
    </row>
    <row r="819" spans="6:7" ht="15.75" customHeight="1">
      <c r="F819" s="1"/>
      <c r="G819" s="1"/>
    </row>
    <row r="820" spans="6:7" ht="15.75" customHeight="1">
      <c r="F820" s="1"/>
      <c r="G820" s="1"/>
    </row>
    <row r="821" spans="6:7" ht="15.75" customHeight="1">
      <c r="F821" s="1"/>
      <c r="G821" s="1"/>
    </row>
    <row r="822" spans="6:7" ht="15.75" customHeight="1">
      <c r="F822" s="1"/>
      <c r="G822" s="1"/>
    </row>
    <row r="823" spans="6:7" ht="15.75" customHeight="1">
      <c r="F823" s="1"/>
      <c r="G823" s="1"/>
    </row>
    <row r="824" spans="6:7" ht="15.75" customHeight="1">
      <c r="F824" s="1"/>
      <c r="G824" s="1"/>
    </row>
    <row r="825" spans="6:7" ht="15.75" customHeight="1">
      <c r="F825" s="1"/>
      <c r="G825" s="1"/>
    </row>
    <row r="826" spans="6:7" ht="15.75" customHeight="1">
      <c r="F826" s="1"/>
      <c r="G826" s="1"/>
    </row>
    <row r="827" spans="6:7" ht="15.75" customHeight="1">
      <c r="F827" s="1"/>
      <c r="G827" s="1"/>
    </row>
    <row r="828" spans="6:7" ht="15.75" customHeight="1">
      <c r="F828" s="1"/>
      <c r="G828" s="1"/>
    </row>
    <row r="829" spans="6:7" ht="15.75" customHeight="1">
      <c r="F829" s="1"/>
      <c r="G829" s="1"/>
    </row>
    <row r="830" spans="6:7" ht="15.75" customHeight="1">
      <c r="F830" s="1"/>
      <c r="G830" s="1"/>
    </row>
    <row r="831" spans="6:7" ht="15.75" customHeight="1">
      <c r="F831" s="1"/>
      <c r="G831" s="1"/>
    </row>
    <row r="832" spans="6:7" ht="15.75" customHeight="1">
      <c r="F832" s="1"/>
      <c r="G832" s="1"/>
    </row>
    <row r="833" spans="6:7" ht="15.75" customHeight="1">
      <c r="F833" s="1"/>
      <c r="G833" s="1"/>
    </row>
    <row r="834" spans="6:7" ht="15.75" customHeight="1">
      <c r="F834" s="1"/>
      <c r="G834" s="1"/>
    </row>
    <row r="835" spans="6:7" ht="15.75" customHeight="1">
      <c r="F835" s="1"/>
      <c r="G835" s="1"/>
    </row>
    <row r="836" spans="6:7" ht="15.75" customHeight="1">
      <c r="F836" s="1"/>
      <c r="G836" s="1"/>
    </row>
    <row r="837" spans="6:7" ht="15.75" customHeight="1">
      <c r="F837" s="1"/>
      <c r="G837" s="1"/>
    </row>
    <row r="838" spans="6:7" ht="15.75" customHeight="1">
      <c r="F838" s="1"/>
      <c r="G838" s="1"/>
    </row>
    <row r="839" spans="6:7" ht="15.75" customHeight="1">
      <c r="F839" s="1"/>
      <c r="G839" s="1"/>
    </row>
    <row r="840" spans="6:7" ht="15.75" customHeight="1">
      <c r="F840" s="1"/>
      <c r="G840" s="1"/>
    </row>
    <row r="841" spans="6:7" ht="15.75" customHeight="1">
      <c r="F841" s="1"/>
      <c r="G841" s="1"/>
    </row>
    <row r="842" spans="6:7" ht="15.75" customHeight="1">
      <c r="F842" s="1"/>
      <c r="G842" s="1"/>
    </row>
    <row r="843" spans="6:7" ht="15.75" customHeight="1">
      <c r="F843" s="1"/>
      <c r="G843" s="1"/>
    </row>
    <row r="844" spans="6:7" ht="15.75" customHeight="1">
      <c r="F844" s="1"/>
      <c r="G844" s="1"/>
    </row>
    <row r="845" spans="6:7" ht="15.75" customHeight="1">
      <c r="F845" s="1"/>
      <c r="G845" s="1"/>
    </row>
    <row r="846" spans="6:7" ht="15.75" customHeight="1">
      <c r="F846" s="1"/>
      <c r="G846" s="1"/>
    </row>
    <row r="847" spans="6:7" ht="15.75" customHeight="1">
      <c r="F847" s="1"/>
      <c r="G847" s="1"/>
    </row>
    <row r="848" spans="6:7" ht="15.75" customHeight="1">
      <c r="F848" s="1"/>
      <c r="G848" s="1"/>
    </row>
    <row r="849" spans="6:7" ht="15.75" customHeight="1">
      <c r="F849" s="1"/>
      <c r="G849" s="1"/>
    </row>
    <row r="850" spans="6:7" ht="15.75" customHeight="1">
      <c r="F850" s="1"/>
      <c r="G850" s="1"/>
    </row>
    <row r="851" spans="6:7" ht="15.75" customHeight="1">
      <c r="F851" s="1"/>
      <c r="G851" s="1"/>
    </row>
    <row r="852" spans="6:7" ht="15.75" customHeight="1">
      <c r="F852" s="1"/>
      <c r="G852" s="1"/>
    </row>
    <row r="853" spans="6:7" ht="15.75" customHeight="1">
      <c r="F853" s="1"/>
      <c r="G853" s="1"/>
    </row>
    <row r="854" spans="6:7" ht="15.75" customHeight="1">
      <c r="F854" s="1"/>
      <c r="G854" s="1"/>
    </row>
    <row r="855" spans="6:7" ht="15.75" customHeight="1">
      <c r="F855" s="1"/>
      <c r="G855" s="1"/>
    </row>
    <row r="856" spans="6:7" ht="15.75" customHeight="1">
      <c r="F856" s="1"/>
      <c r="G856" s="1"/>
    </row>
    <row r="857" spans="6:7" ht="15.75" customHeight="1">
      <c r="F857" s="1"/>
      <c r="G857" s="1"/>
    </row>
    <row r="858" spans="6:7" ht="15.75" customHeight="1">
      <c r="F858" s="1"/>
      <c r="G858" s="1"/>
    </row>
    <row r="859" spans="6:7" ht="15.75" customHeight="1">
      <c r="F859" s="1"/>
      <c r="G859" s="1"/>
    </row>
    <row r="860" spans="6:7" ht="15.75" customHeight="1">
      <c r="F860" s="1"/>
      <c r="G860" s="1"/>
    </row>
    <row r="861" spans="6:7" ht="15.75" customHeight="1">
      <c r="F861" s="1"/>
      <c r="G861" s="1"/>
    </row>
    <row r="862" spans="6:7" ht="15.75" customHeight="1">
      <c r="F862" s="1"/>
      <c r="G862" s="1"/>
    </row>
    <row r="863" spans="6:7" ht="15.75" customHeight="1">
      <c r="F863" s="1"/>
      <c r="G863" s="1"/>
    </row>
    <row r="864" spans="6:7" ht="15.75" customHeight="1">
      <c r="F864" s="1"/>
      <c r="G864" s="1"/>
    </row>
    <row r="865" spans="6:7" ht="15.75" customHeight="1">
      <c r="F865" s="1"/>
      <c r="G865" s="1"/>
    </row>
    <row r="866" spans="6:7" ht="15.75" customHeight="1">
      <c r="F866" s="1"/>
      <c r="G866" s="1"/>
    </row>
    <row r="867" spans="6:7" ht="15.75" customHeight="1">
      <c r="F867" s="1"/>
      <c r="G867" s="1"/>
    </row>
    <row r="868" spans="6:7" ht="15.75" customHeight="1">
      <c r="F868" s="1"/>
      <c r="G868" s="1"/>
    </row>
    <row r="869" spans="6:7" ht="15.75" customHeight="1">
      <c r="F869" s="1"/>
      <c r="G869" s="1"/>
    </row>
    <row r="870" spans="6:7" ht="15.75" customHeight="1">
      <c r="F870" s="1"/>
      <c r="G870" s="1"/>
    </row>
    <row r="871" spans="6:7" ht="15.75" customHeight="1">
      <c r="F871" s="1"/>
      <c r="G871" s="1"/>
    </row>
    <row r="872" spans="6:7" ht="15.75" customHeight="1">
      <c r="F872" s="1"/>
      <c r="G872" s="1"/>
    </row>
    <row r="873" spans="6:7" ht="15.75" customHeight="1">
      <c r="F873" s="1"/>
      <c r="G873" s="1"/>
    </row>
    <row r="874" spans="6:7" ht="15.75" customHeight="1">
      <c r="F874" s="1"/>
      <c r="G874" s="1"/>
    </row>
    <row r="875" spans="6:7" ht="15.75" customHeight="1">
      <c r="F875" s="1"/>
      <c r="G875" s="1"/>
    </row>
    <row r="876" spans="6:7" ht="15.75" customHeight="1">
      <c r="F876" s="1"/>
      <c r="G876" s="1"/>
    </row>
    <row r="877" spans="6:7" ht="15.75" customHeight="1">
      <c r="F877" s="1"/>
      <c r="G877" s="1"/>
    </row>
    <row r="878" spans="6:7" ht="15.75" customHeight="1">
      <c r="F878" s="1"/>
      <c r="G878" s="1"/>
    </row>
    <row r="879" spans="6:7" ht="15.75" customHeight="1">
      <c r="F879" s="1"/>
      <c r="G879" s="1"/>
    </row>
    <row r="880" spans="6:7" ht="15.75" customHeight="1">
      <c r="F880" s="1"/>
      <c r="G880" s="1"/>
    </row>
    <row r="881" spans="6:7" ht="15.75" customHeight="1">
      <c r="F881" s="1"/>
      <c r="G881" s="1"/>
    </row>
    <row r="882" spans="6:7" ht="15.75" customHeight="1">
      <c r="F882" s="1"/>
      <c r="G882" s="1"/>
    </row>
    <row r="883" spans="6:7" ht="15.75" customHeight="1">
      <c r="F883" s="1"/>
      <c r="G883" s="1"/>
    </row>
    <row r="884" spans="6:7" ht="15.75" customHeight="1">
      <c r="F884" s="1"/>
      <c r="G884" s="1"/>
    </row>
    <row r="885" spans="6:7" ht="15.75" customHeight="1">
      <c r="F885" s="1"/>
      <c r="G885" s="1"/>
    </row>
    <row r="886" spans="6:7" ht="15.75" customHeight="1">
      <c r="F886" s="1"/>
      <c r="G886" s="1"/>
    </row>
    <row r="887" spans="6:7" ht="15.75" customHeight="1">
      <c r="F887" s="1"/>
      <c r="G887" s="1"/>
    </row>
    <row r="888" spans="6:7" ht="15.75" customHeight="1">
      <c r="F888" s="1"/>
      <c r="G888" s="1"/>
    </row>
    <row r="889" spans="6:7" ht="15.75" customHeight="1">
      <c r="F889" s="1"/>
      <c r="G889" s="1"/>
    </row>
    <row r="890" spans="6:7" ht="15.75" customHeight="1">
      <c r="F890" s="1"/>
      <c r="G890" s="1"/>
    </row>
    <row r="891" spans="6:7" ht="15.75" customHeight="1">
      <c r="F891" s="1"/>
      <c r="G891" s="1"/>
    </row>
    <row r="892" spans="6:7" ht="15.75" customHeight="1">
      <c r="F892" s="1"/>
      <c r="G892" s="1"/>
    </row>
    <row r="893" spans="6:7" ht="15.75" customHeight="1">
      <c r="F893" s="1"/>
      <c r="G893" s="1"/>
    </row>
    <row r="894" spans="6:7" ht="15.75" customHeight="1">
      <c r="F894" s="1"/>
      <c r="G894" s="1"/>
    </row>
    <row r="895" spans="6:7" ht="15.75" customHeight="1">
      <c r="F895" s="1"/>
      <c r="G895" s="1"/>
    </row>
    <row r="896" spans="6:7" ht="15.75" customHeight="1">
      <c r="F896" s="1"/>
      <c r="G896" s="1"/>
    </row>
    <row r="897" spans="6:7" ht="15.75" customHeight="1">
      <c r="F897" s="1"/>
      <c r="G897" s="1"/>
    </row>
    <row r="898" spans="6:7" ht="15.75" customHeight="1">
      <c r="F898" s="1"/>
      <c r="G898" s="1"/>
    </row>
    <row r="899" spans="6:7" ht="15.75" customHeight="1">
      <c r="F899" s="1"/>
      <c r="G899" s="1"/>
    </row>
    <row r="900" spans="6:7" ht="15.75" customHeight="1">
      <c r="F900" s="1"/>
      <c r="G900" s="1"/>
    </row>
    <row r="901" spans="6:7" ht="15.75" customHeight="1">
      <c r="F901" s="1"/>
      <c r="G901" s="1"/>
    </row>
    <row r="902" spans="6:7" ht="15.75" customHeight="1">
      <c r="F902" s="1"/>
      <c r="G902" s="1"/>
    </row>
    <row r="903" spans="6:7" ht="15.75" customHeight="1">
      <c r="F903" s="1"/>
      <c r="G903" s="1"/>
    </row>
    <row r="904" spans="6:7" ht="15.75" customHeight="1">
      <c r="F904" s="1"/>
      <c r="G904" s="1"/>
    </row>
    <row r="905" spans="6:7" ht="15.75" customHeight="1">
      <c r="F905" s="1"/>
      <c r="G905" s="1"/>
    </row>
    <row r="906" spans="6:7" ht="15.75" customHeight="1">
      <c r="F906" s="1"/>
      <c r="G906" s="1"/>
    </row>
    <row r="907" spans="6:7" ht="15.75" customHeight="1">
      <c r="F907" s="1"/>
      <c r="G907" s="1"/>
    </row>
    <row r="908" spans="6:7" ht="15.75" customHeight="1">
      <c r="F908" s="1"/>
      <c r="G908" s="1"/>
    </row>
    <row r="909" spans="6:7" ht="15.75" customHeight="1">
      <c r="F909" s="1"/>
      <c r="G909" s="1"/>
    </row>
    <row r="910" spans="6:7" ht="15.75" customHeight="1">
      <c r="F910" s="1"/>
      <c r="G910" s="1"/>
    </row>
    <row r="911" spans="6:7" ht="15.75" customHeight="1">
      <c r="F911" s="1"/>
      <c r="G911" s="1"/>
    </row>
    <row r="912" spans="6:7" ht="15.75" customHeight="1">
      <c r="F912" s="1"/>
      <c r="G912" s="1"/>
    </row>
    <row r="913" spans="6:7" ht="15.75" customHeight="1">
      <c r="F913" s="1"/>
      <c r="G913" s="1"/>
    </row>
    <row r="914" spans="6:7" ht="15.75" customHeight="1">
      <c r="F914" s="1"/>
      <c r="G914" s="1"/>
    </row>
    <row r="915" spans="6:7" ht="15.75" customHeight="1">
      <c r="F915" s="1"/>
      <c r="G915" s="1"/>
    </row>
    <row r="916" spans="6:7" ht="14.4">
      <c r="F916" s="1"/>
      <c r="G916" s="1"/>
    </row>
    <row r="917" spans="6:7" ht="14.4">
      <c r="F917" s="1"/>
      <c r="G917" s="1"/>
    </row>
    <row r="918" spans="6:7" ht="14.4">
      <c r="F918" s="1"/>
      <c r="G918" s="1"/>
    </row>
    <row r="919" spans="6:7" ht="14.4">
      <c r="F919" s="1"/>
      <c r="G919" s="1"/>
    </row>
    <row r="920" spans="6:7" ht="14.4">
      <c r="F920" s="1"/>
      <c r="G920" s="1"/>
    </row>
    <row r="921" spans="6:7" ht="14.4">
      <c r="F921" s="1"/>
      <c r="G921" s="1"/>
    </row>
    <row r="922" spans="6:7" ht="14.4">
      <c r="F922" s="1"/>
      <c r="G922" s="1"/>
    </row>
    <row r="923" spans="6:7" ht="14.4">
      <c r="F923" s="1"/>
      <c r="G923" s="1"/>
    </row>
    <row r="924" spans="6:7" ht="14.4">
      <c r="F924" s="1"/>
      <c r="G924" s="1"/>
    </row>
    <row r="925" spans="6:7" ht="14.4">
      <c r="F925" s="1"/>
      <c r="G925" s="1"/>
    </row>
    <row r="926" spans="6:7" ht="14.4">
      <c r="F926" s="1"/>
      <c r="G926" s="1"/>
    </row>
    <row r="927" spans="6:7" ht="14.4">
      <c r="F927" s="1"/>
      <c r="G927" s="1"/>
    </row>
  </sheetData>
  <mergeCells count="1">
    <mergeCell ref="B1:G1"/>
  </mergeCells>
  <pageMargins left="0.23622047244094488" right="0.23622047244094488" top="0.19685039370078741" bottom="0.19685039370078741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7FEB-CDDC-493E-852C-D5198FC43539}">
  <dimension ref="A1:Q972"/>
  <sheetViews>
    <sheetView topLeftCell="A28" zoomScale="130" zoomScaleNormal="130" workbookViewId="0">
      <selection activeCell="I43" sqref="I43"/>
    </sheetView>
  </sheetViews>
  <sheetFormatPr defaultColWidth="12.5546875" defaultRowHeight="14.4"/>
  <cols>
    <col min="1" max="1" width="3.88671875" customWidth="1"/>
    <col min="2" max="2" width="32.109375" customWidth="1"/>
    <col min="3" max="3" width="39.44140625" customWidth="1"/>
    <col min="4" max="4" width="17.44140625" customWidth="1"/>
    <col min="5" max="5" width="12" customWidth="1"/>
    <col min="6" max="6" width="17.44140625" customWidth="1"/>
    <col min="7" max="7" width="12" customWidth="1"/>
    <col min="8" max="8" width="8.6640625" customWidth="1"/>
    <col min="9" max="9" width="10.88671875" customWidth="1"/>
    <col min="10" max="10" width="11.33203125" customWidth="1"/>
    <col min="11" max="11" width="10.44140625" customWidth="1"/>
    <col min="12" max="12" width="11.6640625" customWidth="1"/>
    <col min="13" max="17" width="8.6640625" customWidth="1"/>
    <col min="18" max="26" width="14.44140625" customWidth="1"/>
  </cols>
  <sheetData>
    <row r="1" spans="1:17" ht="19.8" customHeight="1">
      <c r="B1" s="245" t="s">
        <v>92</v>
      </c>
      <c r="C1" s="246"/>
      <c r="D1" s="246"/>
      <c r="E1" s="246"/>
      <c r="F1" s="246"/>
      <c r="G1" s="247"/>
    </row>
    <row r="2" spans="1:17" ht="14.25" customHeight="1">
      <c r="B2" s="170"/>
      <c r="C2" s="171"/>
      <c r="D2" s="171"/>
      <c r="E2" s="172"/>
      <c r="F2" s="171"/>
      <c r="G2" s="173"/>
    </row>
    <row r="3" spans="1:17" ht="14.25" customHeight="1">
      <c r="B3" s="174" t="s">
        <v>93</v>
      </c>
      <c r="C3" s="175"/>
      <c r="D3" s="175"/>
      <c r="E3" s="176">
        <v>45838</v>
      </c>
      <c r="F3" s="177"/>
      <c r="G3" s="178">
        <v>45747</v>
      </c>
    </row>
    <row r="4" spans="1:17" ht="14.25" customHeight="1">
      <c r="B4" s="235" t="s">
        <v>94</v>
      </c>
      <c r="C4" s="179" t="s">
        <v>6</v>
      </c>
      <c r="D4" s="204">
        <v>61408.74</v>
      </c>
      <c r="E4" s="237">
        <v>4.03</v>
      </c>
      <c r="F4" s="204">
        <v>70194.37</v>
      </c>
      <c r="G4" s="237">
        <v>3.01</v>
      </c>
      <c r="I4" s="41"/>
      <c r="K4" s="41"/>
    </row>
    <row r="5" spans="1:17" ht="14.25" customHeight="1">
      <c r="B5" s="236"/>
      <c r="C5" s="180" t="s">
        <v>17</v>
      </c>
      <c r="D5" s="205">
        <v>15256.31</v>
      </c>
      <c r="E5" s="238"/>
      <c r="F5" s="205">
        <v>23358.63</v>
      </c>
      <c r="G5" s="238"/>
      <c r="I5" s="208"/>
      <c r="K5" s="41"/>
    </row>
    <row r="6" spans="1:17" ht="14.25" customHeight="1">
      <c r="B6" s="181" t="s">
        <v>95</v>
      </c>
      <c r="C6" s="2"/>
      <c r="D6" s="2"/>
      <c r="E6" s="168"/>
      <c r="F6" s="2"/>
      <c r="G6" s="169"/>
    </row>
    <row r="7" spans="1:17" ht="14.25" customHeight="1">
      <c r="B7" s="195" t="s">
        <v>117</v>
      </c>
      <c r="C7" s="206"/>
      <c r="D7" s="206"/>
      <c r="E7" s="207"/>
      <c r="G7" s="169"/>
      <c r="I7" s="209"/>
    </row>
    <row r="8" spans="1:17" ht="14.25" customHeight="1">
      <c r="B8" s="210"/>
      <c r="C8" s="183"/>
      <c r="D8" s="184"/>
      <c r="E8" s="185"/>
      <c r="F8" s="184"/>
      <c r="G8" s="186"/>
    </row>
    <row r="9" spans="1:17" ht="14.25" customHeight="1">
      <c r="B9" s="187"/>
      <c r="C9" s="183"/>
      <c r="D9" s="184"/>
      <c r="E9" s="176">
        <v>45838</v>
      </c>
      <c r="F9" s="177"/>
      <c r="G9" s="178">
        <v>45747</v>
      </c>
      <c r="I9" s="208"/>
    </row>
    <row r="10" spans="1:17" ht="14.25" customHeight="1">
      <c r="B10" s="235" t="s">
        <v>96</v>
      </c>
      <c r="C10" s="179" t="s">
        <v>97</v>
      </c>
      <c r="D10" s="204" t="s">
        <v>120</v>
      </c>
      <c r="E10" s="237">
        <v>4.03</v>
      </c>
      <c r="F10" s="204" t="s">
        <v>118</v>
      </c>
      <c r="G10" s="243">
        <v>3.01</v>
      </c>
      <c r="J10" s="41"/>
      <c r="L10" s="41">
        <f>I10+J10</f>
        <v>0</v>
      </c>
    </row>
    <row r="11" spans="1:17" ht="14.25" customHeight="1">
      <c r="B11" s="236"/>
      <c r="C11" s="180" t="s">
        <v>98</v>
      </c>
      <c r="D11" s="205" t="s">
        <v>121</v>
      </c>
      <c r="E11" s="238"/>
      <c r="F11" s="205" t="s">
        <v>119</v>
      </c>
      <c r="G11" s="244"/>
      <c r="I11" s="209"/>
    </row>
    <row r="12" spans="1:17" ht="14.25" customHeight="1">
      <c r="A12" s="175"/>
      <c r="B12" s="188" t="s">
        <v>99</v>
      </c>
      <c r="C12" s="189"/>
      <c r="D12" s="190"/>
      <c r="E12" s="191"/>
      <c r="F12" s="190"/>
      <c r="G12" s="192"/>
      <c r="H12" s="175"/>
      <c r="I12" s="175"/>
      <c r="J12" s="175"/>
      <c r="K12" s="175"/>
      <c r="L12" s="175"/>
      <c r="M12" s="175"/>
      <c r="N12" s="175"/>
      <c r="O12" s="175"/>
      <c r="P12" s="175"/>
      <c r="Q12" s="175"/>
    </row>
    <row r="13" spans="1:17" ht="14.25" customHeight="1">
      <c r="A13" s="175"/>
      <c r="B13" s="193" t="s">
        <v>100</v>
      </c>
      <c r="E13" s="168"/>
      <c r="G13" s="169"/>
      <c r="H13" s="175"/>
      <c r="I13" s="194"/>
      <c r="J13" s="194"/>
      <c r="K13" s="175"/>
      <c r="L13" s="194"/>
      <c r="M13" s="175"/>
      <c r="N13" s="175"/>
      <c r="O13" s="175"/>
      <c r="P13" s="175"/>
      <c r="Q13" s="175"/>
    </row>
    <row r="14" spans="1:17" ht="14.25" customHeight="1">
      <c r="A14" s="175"/>
      <c r="B14" s="195" t="s">
        <v>122</v>
      </c>
      <c r="C14" s="206"/>
      <c r="D14" s="206"/>
      <c r="E14" s="207"/>
      <c r="F14" s="206"/>
      <c r="G14" s="169"/>
      <c r="H14" s="175"/>
      <c r="I14" s="175"/>
      <c r="J14" s="175"/>
      <c r="K14" s="175"/>
      <c r="L14" s="175"/>
      <c r="M14" s="175"/>
      <c r="N14" s="175"/>
      <c r="O14" s="175"/>
      <c r="P14" s="175"/>
      <c r="Q14" s="175"/>
    </row>
    <row r="15" spans="1:17" ht="14.25" customHeight="1">
      <c r="A15" s="175"/>
      <c r="B15" s="195"/>
      <c r="C15" s="2"/>
      <c r="D15" s="2"/>
      <c r="E15" s="168"/>
      <c r="F15" s="2"/>
      <c r="G15" s="169"/>
      <c r="H15" s="175"/>
      <c r="I15" s="175"/>
      <c r="J15" s="175"/>
      <c r="K15" s="175"/>
      <c r="L15" s="175"/>
      <c r="M15" s="175"/>
      <c r="N15" s="175"/>
      <c r="O15" s="175"/>
      <c r="P15" s="175"/>
      <c r="Q15" s="175"/>
    </row>
    <row r="16" spans="1:17" ht="14.25" customHeight="1">
      <c r="A16" s="175"/>
      <c r="B16" s="193"/>
      <c r="C16" s="2"/>
      <c r="D16" s="2"/>
      <c r="E16" s="176">
        <v>45838</v>
      </c>
      <c r="F16" s="177"/>
      <c r="G16" s="178">
        <v>45747</v>
      </c>
      <c r="H16" s="175"/>
      <c r="I16" s="175"/>
      <c r="J16" s="175"/>
      <c r="K16" s="175"/>
      <c r="L16" s="175"/>
      <c r="M16" s="175"/>
      <c r="N16" s="175"/>
      <c r="O16" s="175"/>
      <c r="P16" s="175"/>
      <c r="Q16" s="175"/>
    </row>
    <row r="17" spans="2:12" ht="14.25" customHeight="1">
      <c r="B17" s="235" t="s">
        <v>101</v>
      </c>
      <c r="C17" s="179" t="s">
        <v>102</v>
      </c>
      <c r="D17" s="211">
        <v>61408.74</v>
      </c>
      <c r="E17" s="237">
        <v>4.03</v>
      </c>
      <c r="F17" s="211">
        <v>70194.37</v>
      </c>
      <c r="G17" s="243">
        <v>3.01</v>
      </c>
      <c r="I17" s="41"/>
      <c r="J17" s="41"/>
      <c r="L17" s="41"/>
    </row>
    <row r="18" spans="2:12" ht="14.25" customHeight="1">
      <c r="B18" s="236"/>
      <c r="C18" s="180" t="s">
        <v>103</v>
      </c>
      <c r="D18" s="205">
        <v>15256.61</v>
      </c>
      <c r="E18" s="238"/>
      <c r="F18" s="205">
        <v>23358.63</v>
      </c>
      <c r="G18" s="244"/>
      <c r="I18" s="41"/>
      <c r="J18" s="41"/>
      <c r="K18" s="41"/>
    </row>
    <row r="19" spans="2:12" ht="14.25" customHeight="1">
      <c r="B19" s="187" t="s">
        <v>104</v>
      </c>
      <c r="C19" s="183"/>
      <c r="D19" s="184"/>
      <c r="E19" s="185"/>
      <c r="F19" s="184"/>
      <c r="G19" s="186"/>
      <c r="I19" s="208"/>
      <c r="J19" s="41"/>
    </row>
    <row r="20" spans="2:12" ht="14.25" customHeight="1">
      <c r="B20" s="193" t="s">
        <v>100</v>
      </c>
      <c r="D20" s="184"/>
      <c r="E20" s="185"/>
      <c r="F20" s="184"/>
      <c r="G20" s="186"/>
      <c r="J20" s="41"/>
      <c r="L20" s="41"/>
    </row>
    <row r="21" spans="2:12" ht="14.25" customHeight="1">
      <c r="B21" s="218" t="s">
        <v>123</v>
      </c>
      <c r="C21" s="212"/>
      <c r="D21" s="213"/>
      <c r="E21" s="214"/>
      <c r="F21" s="184"/>
      <c r="G21" s="186"/>
      <c r="I21" s="209"/>
    </row>
    <row r="22" spans="2:12" ht="14.25" customHeight="1">
      <c r="B22" s="193"/>
      <c r="E22" s="168"/>
      <c r="G22" s="169"/>
      <c r="I22" s="208"/>
      <c r="J22" s="41"/>
    </row>
    <row r="23" spans="2:12" ht="14.25" customHeight="1">
      <c r="B23" s="167" t="s">
        <v>105</v>
      </c>
      <c r="E23" s="176">
        <v>45838</v>
      </c>
      <c r="F23" s="177"/>
      <c r="G23" s="178">
        <v>45747</v>
      </c>
    </row>
    <row r="24" spans="2:12" ht="14.25" customHeight="1">
      <c r="B24" s="235" t="s">
        <v>106</v>
      </c>
      <c r="C24" s="179" t="s">
        <v>107</v>
      </c>
      <c r="D24" s="199">
        <v>16484.95</v>
      </c>
      <c r="E24" s="237">
        <v>0.47</v>
      </c>
      <c r="F24" s="199">
        <v>10650.24</v>
      </c>
      <c r="G24" s="243">
        <v>0.38</v>
      </c>
      <c r="I24" s="209"/>
    </row>
    <row r="25" spans="2:12" ht="14.25" customHeight="1">
      <c r="B25" s="236"/>
      <c r="C25" s="180" t="s">
        <v>108</v>
      </c>
      <c r="D25" s="200">
        <v>34813.599999999999</v>
      </c>
      <c r="E25" s="238"/>
      <c r="F25" s="200">
        <v>26995.200000000001</v>
      </c>
      <c r="G25" s="244"/>
    </row>
    <row r="26" spans="2:12" ht="14.25" customHeight="1">
      <c r="B26" s="187" t="s">
        <v>109</v>
      </c>
      <c r="C26" s="183"/>
      <c r="D26" s="201"/>
      <c r="E26" s="185"/>
      <c r="F26" s="184"/>
      <c r="G26" s="186"/>
      <c r="I26" s="208"/>
    </row>
    <row r="27" spans="2:12" ht="14.25" customHeight="1">
      <c r="B27" s="182" t="s">
        <v>125</v>
      </c>
      <c r="C27" s="212"/>
      <c r="D27" s="215"/>
      <c r="E27" s="214"/>
      <c r="F27" s="213"/>
      <c r="G27" s="216"/>
      <c r="J27" s="41"/>
    </row>
    <row r="28" spans="2:12" ht="14.25" customHeight="1">
      <c r="B28" s="182" t="s">
        <v>124</v>
      </c>
      <c r="C28" s="212"/>
      <c r="D28" s="215"/>
      <c r="E28" s="214"/>
      <c r="F28" s="213"/>
      <c r="G28" s="216"/>
      <c r="I28" s="209"/>
      <c r="J28" s="41"/>
    </row>
    <row r="29" spans="2:12" ht="14.25" customHeight="1">
      <c r="B29" s="182" t="s">
        <v>110</v>
      </c>
      <c r="C29" s="183"/>
      <c r="D29" s="201"/>
      <c r="E29" s="185"/>
      <c r="F29" s="184"/>
      <c r="G29" s="186"/>
      <c r="J29" s="41"/>
    </row>
    <row r="30" spans="2:12" ht="14.25" customHeight="1">
      <c r="B30" s="182"/>
      <c r="C30" s="183"/>
      <c r="D30" s="201"/>
      <c r="E30" s="185"/>
      <c r="F30" s="184"/>
      <c r="G30" s="186"/>
      <c r="I30" s="208"/>
      <c r="J30" s="41"/>
    </row>
    <row r="31" spans="2:12" ht="14.25" customHeight="1">
      <c r="B31" s="193"/>
      <c r="E31" s="176">
        <v>45838</v>
      </c>
      <c r="F31" s="177"/>
      <c r="G31" s="178">
        <v>45747</v>
      </c>
      <c r="J31" s="41"/>
    </row>
    <row r="32" spans="2:12" ht="14.25" customHeight="1">
      <c r="B32" s="235" t="s">
        <v>111</v>
      </c>
      <c r="C32" s="179" t="s">
        <v>84</v>
      </c>
      <c r="D32" s="199">
        <v>614.79</v>
      </c>
      <c r="E32" s="237">
        <v>0.02</v>
      </c>
      <c r="F32" s="217">
        <v>-8202.66</v>
      </c>
      <c r="G32" s="239">
        <v>0.28999999999999998</v>
      </c>
      <c r="I32" s="209"/>
    </row>
    <row r="33" spans="2:10" ht="14.25" customHeight="1">
      <c r="B33" s="236"/>
      <c r="C33" s="180" t="s">
        <v>108</v>
      </c>
      <c r="D33" s="200">
        <v>34813.599999999999</v>
      </c>
      <c r="E33" s="238"/>
      <c r="F33" s="200">
        <v>26995.200000000001</v>
      </c>
      <c r="G33" s="240"/>
      <c r="I33" s="209"/>
      <c r="J33" s="41"/>
    </row>
    <row r="34" spans="2:10" ht="14.25" customHeight="1">
      <c r="B34" s="187" t="s">
        <v>112</v>
      </c>
      <c r="C34" s="183"/>
      <c r="D34" s="201"/>
      <c r="E34" s="185"/>
      <c r="F34" s="184"/>
      <c r="G34" s="186"/>
      <c r="I34" s="41"/>
      <c r="J34" s="41"/>
    </row>
    <row r="35" spans="2:10" ht="14.25" customHeight="1">
      <c r="B35" s="182" t="s">
        <v>126</v>
      </c>
      <c r="C35" s="183"/>
      <c r="D35" s="201"/>
      <c r="E35" s="185"/>
      <c r="F35" s="184"/>
      <c r="G35" s="186"/>
    </row>
    <row r="36" spans="2:10" ht="14.25" customHeight="1">
      <c r="B36" s="182" t="s">
        <v>127</v>
      </c>
      <c r="C36" s="183"/>
      <c r="D36" s="201"/>
      <c r="E36" s="185"/>
      <c r="F36" s="184"/>
      <c r="G36" s="186"/>
      <c r="I36" s="208"/>
    </row>
    <row r="37" spans="2:10" ht="14.25" customHeight="1">
      <c r="B37" s="193"/>
      <c r="E37" s="176">
        <v>45838</v>
      </c>
      <c r="F37" s="177"/>
      <c r="G37" s="178">
        <v>45747</v>
      </c>
    </row>
    <row r="38" spans="2:10" ht="14.25" customHeight="1">
      <c r="B38" s="235" t="s">
        <v>130</v>
      </c>
      <c r="C38" s="179" t="s">
        <v>84</v>
      </c>
      <c r="D38" s="199">
        <v>614.78</v>
      </c>
      <c r="E38" s="241">
        <v>8.0000000000000002E-3</v>
      </c>
      <c r="F38" s="217">
        <v>-8202.66</v>
      </c>
      <c r="G38" s="239">
        <v>0.1</v>
      </c>
      <c r="I38" s="209"/>
    </row>
    <row r="39" spans="2:10" ht="14.25" customHeight="1">
      <c r="B39" s="236"/>
      <c r="C39" s="180" t="s">
        <v>113</v>
      </c>
      <c r="D39" s="200">
        <v>73699.539999999994</v>
      </c>
      <c r="E39" s="242"/>
      <c r="F39" s="200">
        <v>85155.67</v>
      </c>
      <c r="G39" s="240"/>
      <c r="I39" s="208"/>
    </row>
    <row r="40" spans="2:10" ht="14.25" customHeight="1">
      <c r="B40" s="187" t="s">
        <v>114</v>
      </c>
      <c r="C40" s="183"/>
      <c r="D40" s="201"/>
      <c r="E40" s="185"/>
      <c r="F40" s="184"/>
      <c r="G40" s="186"/>
    </row>
    <row r="41" spans="2:10" ht="14.25" customHeight="1">
      <c r="B41" s="182" t="s">
        <v>129</v>
      </c>
      <c r="C41" s="212"/>
      <c r="D41" s="215"/>
      <c r="E41" s="214"/>
      <c r="F41" s="213"/>
      <c r="G41" s="216"/>
      <c r="I41" s="209"/>
    </row>
    <row r="42" spans="2:10" ht="14.25" customHeight="1">
      <c r="B42" s="182"/>
      <c r="C42" s="183"/>
      <c r="D42" s="201"/>
      <c r="E42" s="185"/>
      <c r="F42" s="184"/>
      <c r="G42" s="186"/>
    </row>
    <row r="43" spans="2:10" ht="14.25" customHeight="1">
      <c r="B43" s="193"/>
      <c r="E43" s="176">
        <v>45838</v>
      </c>
      <c r="F43" s="177"/>
      <c r="G43" s="178">
        <v>45747</v>
      </c>
      <c r="I43" s="208"/>
    </row>
    <row r="44" spans="2:10" ht="14.25" customHeight="1">
      <c r="B44" s="235" t="s">
        <v>131</v>
      </c>
      <c r="C44" s="179" t="s">
        <v>84</v>
      </c>
      <c r="D44" s="199">
        <v>614.78</v>
      </c>
      <c r="E44" s="237">
        <v>0.01</v>
      </c>
      <c r="F44" s="219">
        <v>-8202.66</v>
      </c>
      <c r="G44" s="239">
        <v>0.13</v>
      </c>
    </row>
    <row r="45" spans="2:10" ht="14.25" customHeight="1">
      <c r="B45" s="236"/>
      <c r="C45" s="180" t="s">
        <v>115</v>
      </c>
      <c r="D45" s="200">
        <v>58443.24</v>
      </c>
      <c r="E45" s="238"/>
      <c r="F45" s="200">
        <v>61797.34</v>
      </c>
      <c r="G45" s="240"/>
      <c r="I45" s="209"/>
    </row>
    <row r="46" spans="2:10" ht="15" customHeight="1">
      <c r="B46" s="181" t="s">
        <v>116</v>
      </c>
      <c r="E46" s="168"/>
      <c r="G46" s="169"/>
    </row>
    <row r="47" spans="2:10" ht="15" customHeight="1">
      <c r="B47" s="182" t="s">
        <v>128</v>
      </c>
      <c r="C47" s="220"/>
      <c r="D47" s="220"/>
      <c r="E47" s="221"/>
      <c r="F47" s="220"/>
      <c r="G47" s="169"/>
      <c r="I47" s="41"/>
    </row>
    <row r="48" spans="2:10" ht="14.25" customHeight="1">
      <c r="B48" s="202"/>
      <c r="C48" s="196"/>
      <c r="D48" s="196"/>
      <c r="E48" s="197"/>
      <c r="F48" s="196"/>
      <c r="G48" s="198"/>
      <c r="I48" s="41"/>
    </row>
    <row r="49" spans="2:7" ht="14.25" customHeight="1">
      <c r="B49" s="203"/>
      <c r="E49" s="168"/>
      <c r="G49" s="168"/>
    </row>
    <row r="50" spans="2:7" ht="14.25" customHeight="1">
      <c r="B50" s="203"/>
      <c r="E50" s="168"/>
      <c r="G50" s="168"/>
    </row>
    <row r="51" spans="2:7" ht="14.25" customHeight="1">
      <c r="B51" s="203"/>
      <c r="E51" s="168"/>
      <c r="G51" s="168"/>
    </row>
    <row r="52" spans="2:7" ht="14.25" customHeight="1">
      <c r="B52" s="203"/>
      <c r="E52" s="168"/>
      <c r="G52" s="168"/>
    </row>
    <row r="53" spans="2:7" ht="14.25" customHeight="1">
      <c r="B53" s="203"/>
      <c r="E53" s="168"/>
      <c r="G53" s="168"/>
    </row>
    <row r="54" spans="2:7" ht="14.25" customHeight="1">
      <c r="B54" s="203"/>
      <c r="E54" s="168"/>
      <c r="G54" s="168"/>
    </row>
    <row r="55" spans="2:7" ht="14.25" customHeight="1">
      <c r="B55" s="203"/>
      <c r="E55" s="168"/>
      <c r="G55" s="168"/>
    </row>
    <row r="56" spans="2:7" ht="14.25" customHeight="1">
      <c r="B56" s="203"/>
      <c r="E56" s="168"/>
      <c r="G56" s="168"/>
    </row>
    <row r="57" spans="2:7" ht="14.25" customHeight="1">
      <c r="B57" s="203"/>
      <c r="E57" s="168"/>
      <c r="G57" s="168"/>
    </row>
    <row r="58" spans="2:7" ht="14.25" customHeight="1">
      <c r="B58" s="203"/>
      <c r="E58" s="168"/>
      <c r="G58" s="168"/>
    </row>
    <row r="59" spans="2:7" ht="14.25" customHeight="1">
      <c r="B59" s="203"/>
      <c r="E59" s="168"/>
      <c r="G59" s="168"/>
    </row>
    <row r="60" spans="2:7" ht="14.25" customHeight="1">
      <c r="B60" s="203"/>
      <c r="E60" s="168"/>
      <c r="G60" s="168"/>
    </row>
    <row r="61" spans="2:7" ht="14.25" customHeight="1">
      <c r="B61" s="203"/>
      <c r="E61" s="168"/>
      <c r="G61" s="168"/>
    </row>
    <row r="62" spans="2:7" ht="14.25" customHeight="1">
      <c r="B62" s="203"/>
      <c r="E62" s="168"/>
      <c r="G62" s="168"/>
    </row>
    <row r="63" spans="2:7" ht="14.25" customHeight="1">
      <c r="B63" s="203"/>
      <c r="E63" s="168"/>
      <c r="G63" s="168"/>
    </row>
    <row r="64" spans="2:7" ht="14.25" customHeight="1">
      <c r="B64" s="203"/>
      <c r="E64" s="168"/>
      <c r="G64" s="168"/>
    </row>
    <row r="65" spans="2:7" ht="14.25" customHeight="1">
      <c r="B65" s="203"/>
      <c r="E65" s="168"/>
      <c r="G65" s="168"/>
    </row>
    <row r="66" spans="2:7" ht="14.25" customHeight="1">
      <c r="B66" s="203"/>
      <c r="E66" s="168"/>
      <c r="G66" s="168"/>
    </row>
    <row r="67" spans="2:7" ht="14.25" customHeight="1">
      <c r="B67" s="203"/>
      <c r="E67" s="168"/>
      <c r="G67" s="168"/>
    </row>
    <row r="68" spans="2:7" ht="14.25" customHeight="1">
      <c r="B68" s="203"/>
      <c r="E68" s="168"/>
      <c r="G68" s="168"/>
    </row>
    <row r="69" spans="2:7" ht="14.25" customHeight="1">
      <c r="B69" s="203"/>
      <c r="E69" s="168"/>
      <c r="G69" s="168"/>
    </row>
    <row r="70" spans="2:7" ht="14.25" customHeight="1">
      <c r="B70" s="203"/>
      <c r="E70" s="168"/>
      <c r="G70" s="168"/>
    </row>
    <row r="71" spans="2:7" ht="14.25" customHeight="1">
      <c r="B71" s="203"/>
      <c r="E71" s="168"/>
      <c r="G71" s="168"/>
    </row>
    <row r="72" spans="2:7" ht="14.25" customHeight="1">
      <c r="B72" s="203"/>
      <c r="E72" s="168"/>
      <c r="G72" s="168"/>
    </row>
    <row r="73" spans="2:7" ht="14.25" customHeight="1">
      <c r="B73" s="203"/>
      <c r="E73" s="168"/>
      <c r="G73" s="168"/>
    </row>
    <row r="74" spans="2:7" ht="14.25" customHeight="1">
      <c r="B74" s="203"/>
      <c r="E74" s="168"/>
      <c r="G74" s="168"/>
    </row>
    <row r="75" spans="2:7" ht="14.25" customHeight="1">
      <c r="B75" s="203"/>
      <c r="E75" s="168"/>
      <c r="G75" s="168"/>
    </row>
    <row r="76" spans="2:7" ht="14.25" customHeight="1">
      <c r="B76" s="203"/>
      <c r="E76" s="168"/>
      <c r="G76" s="168"/>
    </row>
    <row r="77" spans="2:7" ht="14.25" customHeight="1">
      <c r="B77" s="203"/>
      <c r="E77" s="168"/>
      <c r="G77" s="168"/>
    </row>
    <row r="78" spans="2:7" ht="14.25" customHeight="1">
      <c r="B78" s="203"/>
      <c r="E78" s="168"/>
      <c r="G78" s="168"/>
    </row>
    <row r="79" spans="2:7" ht="14.25" customHeight="1">
      <c r="B79" s="203"/>
      <c r="E79" s="168"/>
      <c r="G79" s="168"/>
    </row>
    <row r="80" spans="2:7" ht="14.25" customHeight="1">
      <c r="B80" s="203"/>
      <c r="E80" s="168"/>
      <c r="G80" s="168"/>
    </row>
    <row r="81" spans="2:7" ht="14.25" customHeight="1">
      <c r="B81" s="203"/>
      <c r="E81" s="168"/>
      <c r="G81" s="168"/>
    </row>
    <row r="82" spans="2:7" ht="14.25" customHeight="1">
      <c r="B82" s="203"/>
      <c r="E82" s="168"/>
      <c r="G82" s="168"/>
    </row>
    <row r="83" spans="2:7" ht="14.25" customHeight="1">
      <c r="B83" s="203"/>
      <c r="E83" s="168"/>
      <c r="G83" s="168"/>
    </row>
    <row r="84" spans="2:7" ht="14.25" customHeight="1">
      <c r="B84" s="203"/>
      <c r="E84" s="168"/>
      <c r="G84" s="168"/>
    </row>
    <row r="85" spans="2:7" ht="14.25" customHeight="1">
      <c r="B85" s="203"/>
      <c r="E85" s="168"/>
      <c r="G85" s="168"/>
    </row>
    <row r="86" spans="2:7" ht="14.25" customHeight="1">
      <c r="B86" s="203"/>
      <c r="E86" s="168"/>
      <c r="G86" s="168"/>
    </row>
    <row r="87" spans="2:7" ht="14.25" customHeight="1">
      <c r="B87" s="203"/>
      <c r="E87" s="168"/>
      <c r="G87" s="168"/>
    </row>
    <row r="88" spans="2:7" ht="14.25" customHeight="1">
      <c r="B88" s="203"/>
      <c r="E88" s="168"/>
      <c r="G88" s="168"/>
    </row>
    <row r="89" spans="2:7" ht="14.25" customHeight="1">
      <c r="B89" s="203"/>
      <c r="E89" s="168"/>
      <c r="G89" s="168"/>
    </row>
    <row r="90" spans="2:7" ht="14.25" customHeight="1">
      <c r="B90" s="203"/>
      <c r="E90" s="168"/>
      <c r="G90" s="168"/>
    </row>
    <row r="91" spans="2:7" ht="14.25" customHeight="1">
      <c r="B91" s="203"/>
      <c r="E91" s="168"/>
      <c r="G91" s="168"/>
    </row>
    <row r="92" spans="2:7" ht="14.25" customHeight="1">
      <c r="B92" s="203"/>
      <c r="E92" s="168"/>
      <c r="G92" s="168"/>
    </row>
    <row r="93" spans="2:7" ht="14.25" customHeight="1">
      <c r="B93" s="203"/>
      <c r="E93" s="168"/>
      <c r="G93" s="168"/>
    </row>
    <row r="94" spans="2:7" ht="14.25" customHeight="1">
      <c r="B94" s="203"/>
      <c r="E94" s="168"/>
      <c r="G94" s="168"/>
    </row>
    <row r="95" spans="2:7" ht="14.25" customHeight="1">
      <c r="B95" s="203"/>
      <c r="E95" s="168"/>
      <c r="G95" s="168"/>
    </row>
    <row r="96" spans="2:7" ht="14.25" customHeight="1">
      <c r="B96" s="203"/>
      <c r="E96" s="168"/>
      <c r="G96" s="168"/>
    </row>
    <row r="97" spans="2:7" ht="14.25" customHeight="1">
      <c r="B97" s="203"/>
      <c r="E97" s="168"/>
      <c r="G97" s="168"/>
    </row>
    <row r="98" spans="2:7" ht="14.25" customHeight="1">
      <c r="B98" s="203"/>
      <c r="E98" s="168"/>
      <c r="G98" s="168"/>
    </row>
    <row r="99" spans="2:7" ht="14.25" customHeight="1">
      <c r="B99" s="203"/>
      <c r="E99" s="168"/>
      <c r="G99" s="168"/>
    </row>
    <row r="100" spans="2:7" ht="14.25" customHeight="1">
      <c r="B100" s="203"/>
      <c r="E100" s="168"/>
      <c r="G100" s="168"/>
    </row>
    <row r="101" spans="2:7" ht="14.25" customHeight="1">
      <c r="B101" s="203"/>
      <c r="E101" s="168"/>
      <c r="G101" s="168"/>
    </row>
    <row r="102" spans="2:7" ht="14.25" customHeight="1">
      <c r="B102" s="203"/>
      <c r="E102" s="168"/>
      <c r="G102" s="168"/>
    </row>
    <row r="103" spans="2:7" ht="14.25" customHeight="1">
      <c r="B103" s="203"/>
      <c r="E103" s="168"/>
      <c r="G103" s="168"/>
    </row>
    <row r="104" spans="2:7" ht="14.25" customHeight="1">
      <c r="B104" s="203"/>
      <c r="E104" s="168"/>
      <c r="G104" s="168"/>
    </row>
    <row r="105" spans="2:7" ht="14.25" customHeight="1">
      <c r="B105" s="203"/>
      <c r="E105" s="168"/>
      <c r="G105" s="168"/>
    </row>
    <row r="106" spans="2:7" ht="14.25" customHeight="1">
      <c r="B106" s="203"/>
      <c r="E106" s="168"/>
      <c r="G106" s="168"/>
    </row>
    <row r="107" spans="2:7" ht="14.25" customHeight="1">
      <c r="B107" s="203"/>
      <c r="E107" s="168"/>
      <c r="G107" s="168"/>
    </row>
    <row r="108" spans="2:7" ht="14.25" customHeight="1">
      <c r="B108" s="203"/>
      <c r="E108" s="168"/>
      <c r="G108" s="168"/>
    </row>
    <row r="109" spans="2:7" ht="14.25" customHeight="1">
      <c r="B109" s="203"/>
      <c r="E109" s="168"/>
      <c r="G109" s="168"/>
    </row>
    <row r="110" spans="2:7" ht="14.25" customHeight="1">
      <c r="B110" s="203"/>
      <c r="E110" s="168"/>
      <c r="G110" s="168"/>
    </row>
    <row r="111" spans="2:7" ht="14.25" customHeight="1">
      <c r="B111" s="203"/>
      <c r="E111" s="168"/>
      <c r="G111" s="168"/>
    </row>
    <row r="112" spans="2:7" ht="14.25" customHeight="1">
      <c r="B112" s="203"/>
      <c r="E112" s="168"/>
      <c r="G112" s="168"/>
    </row>
    <row r="113" spans="2:7" ht="14.25" customHeight="1">
      <c r="B113" s="203"/>
      <c r="E113" s="168"/>
      <c r="G113" s="168"/>
    </row>
    <row r="114" spans="2:7" ht="14.25" customHeight="1">
      <c r="B114" s="203"/>
      <c r="E114" s="168"/>
      <c r="G114" s="168"/>
    </row>
    <row r="115" spans="2:7" ht="14.25" customHeight="1">
      <c r="B115" s="203"/>
      <c r="E115" s="168"/>
      <c r="G115" s="168"/>
    </row>
    <row r="116" spans="2:7" ht="14.25" customHeight="1">
      <c r="B116" s="203"/>
      <c r="E116" s="168"/>
      <c r="G116" s="168"/>
    </row>
    <row r="117" spans="2:7" ht="14.25" customHeight="1">
      <c r="B117" s="203"/>
      <c r="E117" s="168"/>
      <c r="G117" s="168"/>
    </row>
    <row r="118" spans="2:7" ht="14.25" customHeight="1">
      <c r="B118" s="203"/>
      <c r="E118" s="168"/>
      <c r="G118" s="168"/>
    </row>
    <row r="119" spans="2:7" ht="14.25" customHeight="1">
      <c r="B119" s="203"/>
      <c r="E119" s="168"/>
      <c r="G119" s="168"/>
    </row>
    <row r="120" spans="2:7" ht="14.25" customHeight="1">
      <c r="B120" s="203"/>
      <c r="E120" s="168"/>
      <c r="G120" s="168"/>
    </row>
    <row r="121" spans="2:7" ht="14.25" customHeight="1">
      <c r="B121" s="203"/>
      <c r="E121" s="168"/>
      <c r="G121" s="168"/>
    </row>
    <row r="122" spans="2:7" ht="14.25" customHeight="1">
      <c r="B122" s="203"/>
      <c r="E122" s="168"/>
      <c r="G122" s="168"/>
    </row>
    <row r="123" spans="2:7" ht="14.25" customHeight="1">
      <c r="B123" s="203"/>
      <c r="E123" s="168"/>
      <c r="G123" s="168"/>
    </row>
    <row r="124" spans="2:7" ht="14.25" customHeight="1">
      <c r="B124" s="203"/>
      <c r="E124" s="168"/>
      <c r="G124" s="168"/>
    </row>
    <row r="125" spans="2:7" ht="14.25" customHeight="1">
      <c r="B125" s="203"/>
      <c r="E125" s="168"/>
      <c r="G125" s="168"/>
    </row>
    <row r="126" spans="2:7" ht="14.25" customHeight="1">
      <c r="B126" s="203"/>
      <c r="E126" s="168"/>
      <c r="G126" s="168"/>
    </row>
    <row r="127" spans="2:7" ht="14.25" customHeight="1">
      <c r="B127" s="203"/>
      <c r="E127" s="168"/>
      <c r="G127" s="168"/>
    </row>
    <row r="128" spans="2:7" ht="14.25" customHeight="1">
      <c r="B128" s="203"/>
      <c r="E128" s="168"/>
      <c r="G128" s="168"/>
    </row>
    <row r="129" spans="2:7" ht="14.25" customHeight="1">
      <c r="B129" s="203"/>
      <c r="E129" s="168"/>
      <c r="G129" s="168"/>
    </row>
    <row r="130" spans="2:7" ht="14.25" customHeight="1">
      <c r="B130" s="203"/>
      <c r="E130" s="168"/>
      <c r="G130" s="168"/>
    </row>
    <row r="131" spans="2:7" ht="14.25" customHeight="1">
      <c r="B131" s="203"/>
      <c r="E131" s="168"/>
      <c r="G131" s="168"/>
    </row>
    <row r="132" spans="2:7" ht="14.25" customHeight="1">
      <c r="B132" s="203"/>
      <c r="E132" s="168"/>
      <c r="G132" s="168"/>
    </row>
    <row r="133" spans="2:7" ht="14.25" customHeight="1">
      <c r="B133" s="203"/>
      <c r="E133" s="168"/>
      <c r="G133" s="168"/>
    </row>
    <row r="134" spans="2:7" ht="14.25" customHeight="1">
      <c r="B134" s="203"/>
      <c r="E134" s="168"/>
      <c r="G134" s="168"/>
    </row>
    <row r="135" spans="2:7" ht="14.25" customHeight="1">
      <c r="B135" s="203"/>
      <c r="E135" s="168"/>
      <c r="G135" s="168"/>
    </row>
    <row r="136" spans="2:7" ht="14.25" customHeight="1">
      <c r="B136" s="203"/>
      <c r="E136" s="168"/>
      <c r="G136" s="168"/>
    </row>
    <row r="137" spans="2:7" ht="14.25" customHeight="1">
      <c r="B137" s="203"/>
      <c r="E137" s="168"/>
      <c r="G137" s="168"/>
    </row>
    <row r="138" spans="2:7" ht="14.25" customHeight="1">
      <c r="B138" s="203"/>
      <c r="E138" s="168"/>
      <c r="G138" s="168"/>
    </row>
    <row r="139" spans="2:7" ht="14.25" customHeight="1">
      <c r="B139" s="203"/>
      <c r="E139" s="168"/>
      <c r="G139" s="168"/>
    </row>
    <row r="140" spans="2:7" ht="14.25" customHeight="1">
      <c r="B140" s="203"/>
      <c r="E140" s="168"/>
      <c r="G140" s="168"/>
    </row>
    <row r="141" spans="2:7" ht="14.25" customHeight="1">
      <c r="B141" s="203"/>
      <c r="E141" s="168"/>
      <c r="G141" s="168"/>
    </row>
    <row r="142" spans="2:7" ht="14.25" customHeight="1">
      <c r="B142" s="203"/>
      <c r="E142" s="168"/>
      <c r="G142" s="168"/>
    </row>
    <row r="143" spans="2:7" ht="14.25" customHeight="1">
      <c r="B143" s="203"/>
      <c r="E143" s="168"/>
      <c r="G143" s="168"/>
    </row>
    <row r="144" spans="2:7" ht="14.25" customHeight="1">
      <c r="B144" s="203"/>
      <c r="E144" s="168"/>
      <c r="G144" s="168"/>
    </row>
    <row r="145" spans="2:7" ht="14.25" customHeight="1">
      <c r="B145" s="203"/>
      <c r="E145" s="168"/>
      <c r="G145" s="168"/>
    </row>
    <row r="146" spans="2:7" ht="14.25" customHeight="1">
      <c r="B146" s="203"/>
      <c r="E146" s="168"/>
      <c r="G146" s="168"/>
    </row>
    <row r="147" spans="2:7" ht="14.25" customHeight="1">
      <c r="B147" s="203"/>
      <c r="E147" s="168"/>
      <c r="G147" s="168"/>
    </row>
    <row r="148" spans="2:7" ht="14.25" customHeight="1">
      <c r="B148" s="203"/>
      <c r="E148" s="168"/>
      <c r="G148" s="168"/>
    </row>
    <row r="149" spans="2:7" ht="14.25" customHeight="1">
      <c r="B149" s="203"/>
      <c r="E149" s="168"/>
      <c r="G149" s="168"/>
    </row>
    <row r="150" spans="2:7" ht="14.25" customHeight="1">
      <c r="B150" s="203"/>
      <c r="E150" s="168"/>
      <c r="G150" s="168"/>
    </row>
    <row r="151" spans="2:7" ht="14.25" customHeight="1">
      <c r="B151" s="203"/>
      <c r="E151" s="168"/>
      <c r="G151" s="168"/>
    </row>
    <row r="152" spans="2:7" ht="14.25" customHeight="1">
      <c r="B152" s="203"/>
      <c r="E152" s="168"/>
      <c r="G152" s="168"/>
    </row>
    <row r="153" spans="2:7" ht="14.25" customHeight="1">
      <c r="B153" s="203"/>
      <c r="E153" s="168"/>
      <c r="G153" s="168"/>
    </row>
    <row r="154" spans="2:7" ht="14.25" customHeight="1">
      <c r="B154" s="203"/>
      <c r="E154" s="168"/>
      <c r="G154" s="168"/>
    </row>
    <row r="155" spans="2:7" ht="14.25" customHeight="1">
      <c r="B155" s="203"/>
      <c r="E155" s="168"/>
      <c r="G155" s="168"/>
    </row>
    <row r="156" spans="2:7" ht="14.25" customHeight="1">
      <c r="B156" s="203"/>
      <c r="E156" s="168"/>
      <c r="G156" s="168"/>
    </row>
    <row r="157" spans="2:7" ht="14.25" customHeight="1">
      <c r="B157" s="203"/>
      <c r="E157" s="168"/>
      <c r="G157" s="168"/>
    </row>
    <row r="158" spans="2:7" ht="14.25" customHeight="1">
      <c r="B158" s="203"/>
      <c r="E158" s="168"/>
      <c r="G158" s="168"/>
    </row>
    <row r="159" spans="2:7" ht="14.25" customHeight="1">
      <c r="B159" s="203"/>
      <c r="E159" s="168"/>
      <c r="G159" s="168"/>
    </row>
    <row r="160" spans="2:7" ht="14.25" customHeight="1">
      <c r="B160" s="203"/>
      <c r="E160" s="168"/>
      <c r="G160" s="168"/>
    </row>
    <row r="161" spans="2:7" ht="14.25" customHeight="1">
      <c r="B161" s="203"/>
      <c r="E161" s="168"/>
      <c r="G161" s="168"/>
    </row>
    <row r="162" spans="2:7" ht="14.25" customHeight="1">
      <c r="B162" s="203"/>
      <c r="E162" s="168"/>
      <c r="G162" s="168"/>
    </row>
    <row r="163" spans="2:7" ht="14.25" customHeight="1">
      <c r="B163" s="203"/>
      <c r="E163" s="168"/>
      <c r="G163" s="168"/>
    </row>
    <row r="164" spans="2:7" ht="14.25" customHeight="1">
      <c r="B164" s="203"/>
      <c r="E164" s="168"/>
      <c r="G164" s="168"/>
    </row>
    <row r="165" spans="2:7" ht="14.25" customHeight="1">
      <c r="B165" s="203"/>
      <c r="E165" s="168"/>
      <c r="G165" s="168"/>
    </row>
    <row r="166" spans="2:7" ht="14.25" customHeight="1">
      <c r="B166" s="203"/>
      <c r="E166" s="168"/>
      <c r="G166" s="168"/>
    </row>
    <row r="167" spans="2:7" ht="14.25" customHeight="1">
      <c r="B167" s="203"/>
      <c r="E167" s="168"/>
      <c r="G167" s="168"/>
    </row>
    <row r="168" spans="2:7" ht="14.25" customHeight="1">
      <c r="B168" s="203"/>
      <c r="E168" s="168"/>
      <c r="G168" s="168"/>
    </row>
    <row r="169" spans="2:7" ht="14.25" customHeight="1">
      <c r="B169" s="203"/>
      <c r="E169" s="168"/>
      <c r="G169" s="168"/>
    </row>
    <row r="170" spans="2:7" ht="14.25" customHeight="1">
      <c r="B170" s="203"/>
      <c r="E170" s="168"/>
      <c r="G170" s="168"/>
    </row>
    <row r="171" spans="2:7" ht="14.25" customHeight="1">
      <c r="B171" s="203"/>
      <c r="E171" s="168"/>
      <c r="G171" s="168"/>
    </row>
    <row r="172" spans="2:7" ht="14.25" customHeight="1">
      <c r="B172" s="203"/>
      <c r="E172" s="168"/>
      <c r="G172" s="168"/>
    </row>
    <row r="173" spans="2:7" ht="14.25" customHeight="1">
      <c r="B173" s="203"/>
      <c r="E173" s="168"/>
      <c r="G173" s="168"/>
    </row>
    <row r="174" spans="2:7" ht="14.25" customHeight="1">
      <c r="B174" s="203"/>
      <c r="E174" s="168"/>
      <c r="G174" s="168"/>
    </row>
    <row r="175" spans="2:7" ht="14.25" customHeight="1">
      <c r="B175" s="203"/>
      <c r="E175" s="168"/>
      <c r="G175" s="168"/>
    </row>
    <row r="176" spans="2:7" ht="14.25" customHeight="1">
      <c r="B176" s="203"/>
      <c r="E176" s="168"/>
      <c r="G176" s="168"/>
    </row>
    <row r="177" spans="2:7" ht="14.25" customHeight="1">
      <c r="B177" s="203"/>
      <c r="E177" s="168"/>
      <c r="G177" s="168"/>
    </row>
    <row r="178" spans="2:7" ht="14.25" customHeight="1">
      <c r="B178" s="203"/>
      <c r="E178" s="168"/>
      <c r="G178" s="168"/>
    </row>
    <row r="179" spans="2:7" ht="14.25" customHeight="1">
      <c r="B179" s="203"/>
      <c r="E179" s="168"/>
      <c r="G179" s="168"/>
    </row>
    <row r="180" spans="2:7" ht="14.25" customHeight="1">
      <c r="B180" s="203"/>
      <c r="E180" s="168"/>
      <c r="G180" s="168"/>
    </row>
    <row r="181" spans="2:7" ht="14.25" customHeight="1">
      <c r="B181" s="203"/>
      <c r="E181" s="168"/>
      <c r="G181" s="168"/>
    </row>
    <row r="182" spans="2:7" ht="14.25" customHeight="1">
      <c r="B182" s="203"/>
      <c r="E182" s="168"/>
      <c r="G182" s="168"/>
    </row>
    <row r="183" spans="2:7" ht="14.25" customHeight="1">
      <c r="B183" s="203"/>
      <c r="E183" s="168"/>
      <c r="G183" s="168"/>
    </row>
    <row r="184" spans="2:7" ht="14.25" customHeight="1">
      <c r="B184" s="203"/>
      <c r="E184" s="168"/>
      <c r="G184" s="168"/>
    </row>
    <row r="185" spans="2:7" ht="14.25" customHeight="1">
      <c r="B185" s="203"/>
      <c r="E185" s="168"/>
      <c r="G185" s="168"/>
    </row>
    <row r="186" spans="2:7" ht="14.25" customHeight="1">
      <c r="B186" s="203"/>
      <c r="E186" s="168"/>
      <c r="G186" s="168"/>
    </row>
    <row r="187" spans="2:7" ht="14.25" customHeight="1">
      <c r="B187" s="203"/>
      <c r="E187" s="168"/>
      <c r="G187" s="168"/>
    </row>
    <row r="188" spans="2:7" ht="14.25" customHeight="1">
      <c r="B188" s="203"/>
      <c r="E188" s="168"/>
      <c r="G188" s="168"/>
    </row>
    <row r="189" spans="2:7" ht="14.25" customHeight="1">
      <c r="B189" s="203"/>
      <c r="E189" s="168"/>
      <c r="G189" s="168"/>
    </row>
    <row r="190" spans="2:7" ht="14.25" customHeight="1">
      <c r="B190" s="203"/>
      <c r="E190" s="168"/>
      <c r="G190" s="168"/>
    </row>
    <row r="191" spans="2:7" ht="14.25" customHeight="1">
      <c r="B191" s="203"/>
      <c r="E191" s="168"/>
      <c r="G191" s="168"/>
    </row>
    <row r="192" spans="2:7" ht="14.25" customHeight="1">
      <c r="B192" s="203"/>
      <c r="E192" s="168"/>
      <c r="G192" s="168"/>
    </row>
    <row r="193" spans="2:7" ht="14.25" customHeight="1">
      <c r="B193" s="203"/>
      <c r="E193" s="168"/>
      <c r="G193" s="168"/>
    </row>
    <row r="194" spans="2:7" ht="14.25" customHeight="1">
      <c r="B194" s="203"/>
      <c r="E194" s="168"/>
      <c r="G194" s="168"/>
    </row>
    <row r="195" spans="2:7" ht="14.25" customHeight="1">
      <c r="B195" s="203"/>
      <c r="E195" s="168"/>
      <c r="G195" s="168"/>
    </row>
    <row r="196" spans="2:7" ht="14.25" customHeight="1">
      <c r="B196" s="203"/>
      <c r="E196" s="168"/>
      <c r="G196" s="168"/>
    </row>
    <row r="197" spans="2:7" ht="14.25" customHeight="1">
      <c r="B197" s="203"/>
      <c r="E197" s="168"/>
      <c r="G197" s="168"/>
    </row>
    <row r="198" spans="2:7" ht="14.25" customHeight="1">
      <c r="B198" s="203"/>
      <c r="E198" s="168"/>
      <c r="G198" s="168"/>
    </row>
    <row r="199" spans="2:7" ht="14.25" customHeight="1">
      <c r="B199" s="203"/>
      <c r="E199" s="168"/>
      <c r="G199" s="168"/>
    </row>
    <row r="200" spans="2:7" ht="14.25" customHeight="1">
      <c r="B200" s="203"/>
      <c r="E200" s="168"/>
      <c r="G200" s="168"/>
    </row>
    <row r="201" spans="2:7" ht="14.25" customHeight="1">
      <c r="B201" s="203"/>
      <c r="E201" s="168"/>
      <c r="G201" s="168"/>
    </row>
    <row r="202" spans="2:7" ht="14.25" customHeight="1">
      <c r="B202" s="203"/>
      <c r="E202" s="168"/>
      <c r="G202" s="168"/>
    </row>
    <row r="203" spans="2:7" ht="14.25" customHeight="1">
      <c r="B203" s="203"/>
      <c r="E203" s="168"/>
      <c r="G203" s="168"/>
    </row>
    <row r="204" spans="2:7" ht="14.25" customHeight="1">
      <c r="B204" s="203"/>
      <c r="E204" s="168"/>
      <c r="G204" s="168"/>
    </row>
    <row r="205" spans="2:7" ht="14.25" customHeight="1">
      <c r="B205" s="203"/>
      <c r="E205" s="168"/>
      <c r="G205" s="168"/>
    </row>
    <row r="206" spans="2:7" ht="14.25" customHeight="1">
      <c r="B206" s="203"/>
      <c r="E206" s="168"/>
      <c r="G206" s="168"/>
    </row>
    <row r="207" spans="2:7" ht="14.25" customHeight="1">
      <c r="B207" s="203"/>
      <c r="E207" s="168"/>
      <c r="G207" s="168"/>
    </row>
    <row r="208" spans="2:7" ht="14.25" customHeight="1">
      <c r="B208" s="203"/>
      <c r="E208" s="168"/>
      <c r="G208" s="168"/>
    </row>
    <row r="209" spans="2:7" ht="14.25" customHeight="1">
      <c r="B209" s="203"/>
      <c r="E209" s="168"/>
      <c r="G209" s="168"/>
    </row>
    <row r="210" spans="2:7" ht="14.25" customHeight="1">
      <c r="B210" s="203"/>
      <c r="E210" s="168"/>
      <c r="G210" s="168"/>
    </row>
    <row r="211" spans="2:7" ht="14.25" customHeight="1">
      <c r="B211" s="203"/>
      <c r="E211" s="168"/>
      <c r="G211" s="168"/>
    </row>
    <row r="212" spans="2:7" ht="14.25" customHeight="1">
      <c r="B212" s="203"/>
      <c r="E212" s="168"/>
      <c r="G212" s="168"/>
    </row>
    <row r="213" spans="2:7" ht="14.25" customHeight="1">
      <c r="B213" s="203"/>
      <c r="E213" s="168"/>
      <c r="G213" s="168"/>
    </row>
    <row r="214" spans="2:7" ht="14.25" customHeight="1">
      <c r="B214" s="203"/>
      <c r="E214" s="168"/>
      <c r="G214" s="168"/>
    </row>
    <row r="215" spans="2:7" ht="14.25" customHeight="1">
      <c r="B215" s="203"/>
      <c r="E215" s="168"/>
      <c r="G215" s="168"/>
    </row>
    <row r="216" spans="2:7" ht="14.25" customHeight="1">
      <c r="B216" s="203"/>
      <c r="E216" s="168"/>
      <c r="G216" s="168"/>
    </row>
    <row r="217" spans="2:7" ht="14.25" customHeight="1">
      <c r="B217" s="203"/>
      <c r="E217" s="168"/>
      <c r="G217" s="168"/>
    </row>
    <row r="218" spans="2:7" ht="14.25" customHeight="1">
      <c r="B218" s="203"/>
      <c r="E218" s="168"/>
      <c r="G218" s="168"/>
    </row>
    <row r="219" spans="2:7" ht="14.25" customHeight="1">
      <c r="B219" s="203"/>
      <c r="E219" s="168"/>
      <c r="G219" s="168"/>
    </row>
    <row r="220" spans="2:7" ht="14.25" customHeight="1">
      <c r="B220" s="203"/>
      <c r="E220" s="168"/>
      <c r="G220" s="168"/>
    </row>
    <row r="221" spans="2:7" ht="14.25" customHeight="1">
      <c r="B221" s="203"/>
      <c r="E221" s="168"/>
      <c r="G221" s="168"/>
    </row>
    <row r="222" spans="2:7" ht="14.25" customHeight="1">
      <c r="B222" s="203"/>
      <c r="E222" s="168"/>
      <c r="G222" s="168"/>
    </row>
    <row r="223" spans="2:7" ht="14.25" customHeight="1">
      <c r="B223" s="203"/>
      <c r="E223" s="168"/>
      <c r="G223" s="168"/>
    </row>
    <row r="224" spans="2:7" ht="14.25" customHeight="1">
      <c r="B224" s="203"/>
      <c r="E224" s="168"/>
      <c r="G224" s="168"/>
    </row>
    <row r="225" spans="2:7" ht="14.25" customHeight="1">
      <c r="B225" s="203"/>
      <c r="E225" s="168"/>
      <c r="G225" s="168"/>
    </row>
    <row r="226" spans="2:7" ht="14.25" customHeight="1">
      <c r="B226" s="203"/>
      <c r="E226" s="168"/>
      <c r="G226" s="168"/>
    </row>
    <row r="227" spans="2:7" ht="14.25" customHeight="1">
      <c r="B227" s="203"/>
      <c r="E227" s="168"/>
      <c r="G227" s="168"/>
    </row>
    <row r="228" spans="2:7" ht="14.25" customHeight="1">
      <c r="B228" s="203"/>
      <c r="E228" s="168"/>
      <c r="G228" s="168"/>
    </row>
    <row r="229" spans="2:7" ht="14.25" customHeight="1">
      <c r="B229" s="203"/>
      <c r="E229" s="168"/>
      <c r="G229" s="168"/>
    </row>
    <row r="230" spans="2:7" ht="14.25" customHeight="1">
      <c r="B230" s="203"/>
      <c r="E230" s="168"/>
      <c r="G230" s="168"/>
    </row>
    <row r="231" spans="2:7" ht="14.25" customHeight="1">
      <c r="B231" s="203"/>
      <c r="E231" s="168"/>
      <c r="G231" s="168"/>
    </row>
    <row r="232" spans="2:7" ht="14.25" customHeight="1">
      <c r="B232" s="203"/>
      <c r="E232" s="168"/>
      <c r="G232" s="168"/>
    </row>
    <row r="233" spans="2:7" ht="14.25" customHeight="1">
      <c r="B233" s="203"/>
      <c r="E233" s="168"/>
      <c r="G233" s="168"/>
    </row>
    <row r="234" spans="2:7" ht="14.25" customHeight="1">
      <c r="B234" s="203"/>
      <c r="E234" s="168"/>
      <c r="G234" s="168"/>
    </row>
    <row r="235" spans="2:7" ht="14.25" customHeight="1">
      <c r="B235" s="203"/>
      <c r="E235" s="168"/>
      <c r="G235" s="168"/>
    </row>
    <row r="236" spans="2:7" ht="14.25" customHeight="1">
      <c r="B236" s="203"/>
      <c r="E236" s="168"/>
      <c r="G236" s="168"/>
    </row>
    <row r="237" spans="2:7" ht="14.25" customHeight="1">
      <c r="B237" s="203"/>
      <c r="E237" s="168"/>
      <c r="G237" s="168"/>
    </row>
    <row r="238" spans="2:7" ht="14.25" customHeight="1">
      <c r="B238" s="203"/>
      <c r="E238" s="168"/>
      <c r="G238" s="168"/>
    </row>
    <row r="239" spans="2:7" ht="14.25" customHeight="1">
      <c r="B239" s="203"/>
      <c r="E239" s="168"/>
      <c r="G239" s="168"/>
    </row>
    <row r="240" spans="2:7" ht="14.25" customHeight="1">
      <c r="B240" s="203"/>
      <c r="E240" s="168"/>
      <c r="G240" s="168"/>
    </row>
    <row r="241" spans="2:7" ht="14.25" customHeight="1">
      <c r="B241" s="203"/>
      <c r="E241" s="168"/>
      <c r="G241" s="168"/>
    </row>
    <row r="242" spans="2:7" ht="14.25" customHeight="1">
      <c r="B242" s="203"/>
      <c r="E242" s="168"/>
      <c r="G242" s="168"/>
    </row>
    <row r="243" spans="2:7" ht="14.25" customHeight="1">
      <c r="B243" s="203"/>
      <c r="E243" s="168"/>
      <c r="G243" s="168"/>
    </row>
    <row r="244" spans="2:7" ht="14.25" customHeight="1">
      <c r="B244" s="203"/>
      <c r="E244" s="168"/>
      <c r="G244" s="168"/>
    </row>
    <row r="245" spans="2:7" ht="14.25" customHeight="1">
      <c r="B245" s="203"/>
      <c r="E245" s="168"/>
      <c r="G245" s="168"/>
    </row>
    <row r="246" spans="2:7" ht="14.25" customHeight="1">
      <c r="B246" s="203"/>
      <c r="E246" s="168"/>
      <c r="G246" s="168"/>
    </row>
    <row r="247" spans="2:7" ht="14.25" customHeight="1">
      <c r="E247" s="168"/>
      <c r="G247" s="168"/>
    </row>
    <row r="248" spans="2:7" ht="14.25" customHeight="1">
      <c r="E248" s="168"/>
      <c r="G248" s="168"/>
    </row>
    <row r="249" spans="2:7" ht="14.25" customHeight="1">
      <c r="E249" s="168"/>
      <c r="G249" s="168"/>
    </row>
    <row r="250" spans="2:7" ht="14.25" customHeight="1">
      <c r="E250" s="168"/>
      <c r="G250" s="168"/>
    </row>
    <row r="251" spans="2:7" ht="14.25" customHeight="1">
      <c r="E251" s="168"/>
      <c r="G251" s="168"/>
    </row>
    <row r="252" spans="2:7" ht="14.25" customHeight="1">
      <c r="E252" s="168"/>
      <c r="G252" s="168"/>
    </row>
    <row r="253" spans="2:7" ht="14.25" customHeight="1">
      <c r="E253" s="168"/>
      <c r="G253" s="168"/>
    </row>
    <row r="254" spans="2:7" ht="14.25" customHeight="1">
      <c r="E254" s="168"/>
      <c r="G254" s="168"/>
    </row>
    <row r="255" spans="2:7" ht="14.25" customHeight="1">
      <c r="E255" s="168"/>
      <c r="G255" s="168"/>
    </row>
    <row r="256" spans="2:7" ht="14.25" customHeight="1">
      <c r="E256" s="168"/>
      <c r="G256" s="168"/>
    </row>
    <row r="257" spans="5:7" ht="14.25" customHeight="1">
      <c r="E257" s="168"/>
      <c r="G257" s="168"/>
    </row>
    <row r="258" spans="5:7" ht="14.25" customHeight="1">
      <c r="E258" s="168"/>
      <c r="G258" s="168"/>
    </row>
    <row r="259" spans="5:7" ht="14.25" customHeight="1">
      <c r="E259" s="168"/>
      <c r="G259" s="168"/>
    </row>
    <row r="260" spans="5:7" ht="14.25" customHeight="1">
      <c r="E260" s="168"/>
      <c r="G260" s="168"/>
    </row>
    <row r="261" spans="5:7" ht="14.25" customHeight="1">
      <c r="E261" s="168"/>
      <c r="G261" s="168"/>
    </row>
    <row r="262" spans="5:7" ht="14.25" customHeight="1">
      <c r="E262" s="168"/>
      <c r="G262" s="168"/>
    </row>
    <row r="263" spans="5:7" ht="14.25" customHeight="1">
      <c r="E263" s="168"/>
      <c r="G263" s="168"/>
    </row>
    <row r="264" spans="5:7" ht="14.25" customHeight="1">
      <c r="E264" s="168"/>
      <c r="G264" s="168"/>
    </row>
    <row r="265" spans="5:7" ht="14.25" customHeight="1">
      <c r="E265" s="168"/>
      <c r="G265" s="168"/>
    </row>
    <row r="266" spans="5:7" ht="14.25" customHeight="1">
      <c r="E266" s="168"/>
      <c r="G266" s="168"/>
    </row>
    <row r="267" spans="5:7" ht="14.25" customHeight="1">
      <c r="E267" s="168"/>
      <c r="G267" s="168"/>
    </row>
    <row r="268" spans="5:7" ht="14.25" customHeight="1">
      <c r="E268" s="168"/>
      <c r="G268" s="168"/>
    </row>
    <row r="269" spans="5:7" ht="14.25" customHeight="1">
      <c r="E269" s="168"/>
      <c r="G269" s="168"/>
    </row>
    <row r="270" spans="5:7" ht="14.25" customHeight="1">
      <c r="E270" s="168"/>
      <c r="G270" s="168"/>
    </row>
    <row r="271" spans="5:7" ht="14.25" customHeight="1">
      <c r="E271" s="168"/>
      <c r="G271" s="168"/>
    </row>
    <row r="272" spans="5:7" ht="14.25" customHeight="1">
      <c r="E272" s="168"/>
      <c r="G272" s="168"/>
    </row>
    <row r="273" spans="5:7" ht="14.25" customHeight="1">
      <c r="E273" s="168"/>
      <c r="G273" s="168"/>
    </row>
    <row r="274" spans="5:7" ht="14.25" customHeight="1">
      <c r="E274" s="168"/>
      <c r="G274" s="168"/>
    </row>
    <row r="275" spans="5:7" ht="14.25" customHeight="1">
      <c r="E275" s="168"/>
      <c r="G275" s="168"/>
    </row>
    <row r="276" spans="5:7" ht="14.25" customHeight="1">
      <c r="E276" s="168"/>
      <c r="G276" s="168"/>
    </row>
    <row r="277" spans="5:7" ht="14.25" customHeight="1">
      <c r="E277" s="168"/>
      <c r="G277" s="168"/>
    </row>
    <row r="278" spans="5:7" ht="14.25" customHeight="1">
      <c r="E278" s="168"/>
      <c r="G278" s="168"/>
    </row>
    <row r="279" spans="5:7" ht="14.25" customHeight="1">
      <c r="E279" s="168"/>
      <c r="G279" s="168"/>
    </row>
    <row r="280" spans="5:7" ht="14.25" customHeight="1">
      <c r="E280" s="168"/>
      <c r="G280" s="168"/>
    </row>
    <row r="281" spans="5:7" ht="14.25" customHeight="1">
      <c r="E281" s="168"/>
      <c r="G281" s="168"/>
    </row>
    <row r="282" spans="5:7" ht="14.25" customHeight="1">
      <c r="E282" s="168"/>
      <c r="G282" s="168"/>
    </row>
    <row r="283" spans="5:7" ht="14.25" customHeight="1">
      <c r="E283" s="168"/>
      <c r="G283" s="168"/>
    </row>
    <row r="284" spans="5:7" ht="14.25" customHeight="1">
      <c r="E284" s="168"/>
      <c r="G284" s="168"/>
    </row>
    <row r="285" spans="5:7" ht="14.25" customHeight="1">
      <c r="E285" s="168"/>
      <c r="G285" s="168"/>
    </row>
    <row r="286" spans="5:7" ht="14.25" customHeight="1">
      <c r="E286" s="168"/>
      <c r="G286" s="168"/>
    </row>
    <row r="287" spans="5:7" ht="14.25" customHeight="1">
      <c r="E287" s="168"/>
      <c r="G287" s="168"/>
    </row>
    <row r="288" spans="5:7" ht="14.25" customHeight="1">
      <c r="E288" s="168"/>
      <c r="G288" s="168"/>
    </row>
    <row r="289" spans="5:7" ht="14.25" customHeight="1">
      <c r="E289" s="168"/>
      <c r="G289" s="168"/>
    </row>
    <row r="290" spans="5:7" ht="14.25" customHeight="1">
      <c r="E290" s="168"/>
      <c r="G290" s="168"/>
    </row>
    <row r="291" spans="5:7" ht="14.25" customHeight="1">
      <c r="E291" s="168"/>
      <c r="G291" s="168"/>
    </row>
    <row r="292" spans="5:7" ht="14.25" customHeight="1">
      <c r="E292" s="168"/>
      <c r="G292" s="168"/>
    </row>
    <row r="293" spans="5:7" ht="14.25" customHeight="1">
      <c r="E293" s="168"/>
      <c r="G293" s="168"/>
    </row>
    <row r="294" spans="5:7" ht="14.25" customHeight="1">
      <c r="E294" s="168"/>
      <c r="G294" s="168"/>
    </row>
    <row r="295" spans="5:7" ht="14.25" customHeight="1">
      <c r="E295" s="168"/>
      <c r="G295" s="168"/>
    </row>
    <row r="296" spans="5:7" ht="14.25" customHeight="1">
      <c r="E296" s="168"/>
      <c r="G296" s="168"/>
    </row>
    <row r="297" spans="5:7" ht="14.25" customHeight="1">
      <c r="E297" s="168"/>
      <c r="G297" s="168"/>
    </row>
    <row r="298" spans="5:7" ht="14.25" customHeight="1">
      <c r="E298" s="168"/>
      <c r="G298" s="168"/>
    </row>
    <row r="299" spans="5:7" ht="14.25" customHeight="1">
      <c r="E299" s="168"/>
      <c r="G299" s="168"/>
    </row>
    <row r="300" spans="5:7" ht="14.25" customHeight="1">
      <c r="E300" s="168"/>
      <c r="G300" s="168"/>
    </row>
    <row r="301" spans="5:7" ht="14.25" customHeight="1">
      <c r="E301" s="168"/>
      <c r="G301" s="168"/>
    </row>
    <row r="302" spans="5:7" ht="14.25" customHeight="1">
      <c r="E302" s="168"/>
      <c r="G302" s="168"/>
    </row>
    <row r="303" spans="5:7" ht="14.25" customHeight="1">
      <c r="E303" s="168"/>
      <c r="G303" s="168"/>
    </row>
    <row r="304" spans="5:7" ht="14.25" customHeight="1">
      <c r="E304" s="168"/>
      <c r="G304" s="168"/>
    </row>
    <row r="305" spans="5:7" ht="14.25" customHeight="1">
      <c r="E305" s="168"/>
      <c r="G305" s="168"/>
    </row>
    <row r="306" spans="5:7" ht="14.25" customHeight="1">
      <c r="E306" s="168"/>
      <c r="G306" s="168"/>
    </row>
    <row r="307" spans="5:7" ht="14.25" customHeight="1">
      <c r="E307" s="168"/>
      <c r="G307" s="168"/>
    </row>
    <row r="308" spans="5:7" ht="14.25" customHeight="1">
      <c r="E308" s="168"/>
      <c r="G308" s="168"/>
    </row>
    <row r="309" spans="5:7" ht="14.25" customHeight="1">
      <c r="E309" s="168"/>
      <c r="G309" s="168"/>
    </row>
    <row r="310" spans="5:7" ht="14.25" customHeight="1">
      <c r="E310" s="168"/>
      <c r="G310" s="168"/>
    </row>
    <row r="311" spans="5:7" ht="14.25" customHeight="1">
      <c r="E311" s="168"/>
      <c r="G311" s="168"/>
    </row>
    <row r="312" spans="5:7" ht="14.25" customHeight="1">
      <c r="E312" s="168"/>
      <c r="G312" s="168"/>
    </row>
    <row r="313" spans="5:7" ht="14.25" customHeight="1">
      <c r="E313" s="168"/>
      <c r="G313" s="168"/>
    </row>
    <row r="314" spans="5:7" ht="14.25" customHeight="1">
      <c r="E314" s="168"/>
      <c r="G314" s="168"/>
    </row>
    <row r="315" spans="5:7" ht="14.25" customHeight="1">
      <c r="E315" s="168"/>
      <c r="G315" s="168"/>
    </row>
    <row r="316" spans="5:7" ht="14.25" customHeight="1">
      <c r="E316" s="168"/>
      <c r="G316" s="168"/>
    </row>
    <row r="317" spans="5:7" ht="14.25" customHeight="1">
      <c r="E317" s="168"/>
      <c r="G317" s="168"/>
    </row>
    <row r="318" spans="5:7" ht="14.25" customHeight="1">
      <c r="E318" s="168"/>
      <c r="G318" s="168"/>
    </row>
    <row r="319" spans="5:7" ht="14.25" customHeight="1">
      <c r="E319" s="168"/>
      <c r="G319" s="168"/>
    </row>
    <row r="320" spans="5:7" ht="14.25" customHeight="1">
      <c r="E320" s="168"/>
      <c r="G320" s="168"/>
    </row>
    <row r="321" spans="5:7" ht="14.25" customHeight="1">
      <c r="E321" s="168"/>
      <c r="G321" s="168"/>
    </row>
    <row r="322" spans="5:7" ht="14.25" customHeight="1">
      <c r="E322" s="168"/>
      <c r="G322" s="168"/>
    </row>
    <row r="323" spans="5:7" ht="14.25" customHeight="1">
      <c r="E323" s="168"/>
      <c r="G323" s="168"/>
    </row>
    <row r="324" spans="5:7" ht="14.25" customHeight="1">
      <c r="E324" s="168"/>
      <c r="G324" s="168"/>
    </row>
    <row r="325" spans="5:7" ht="14.25" customHeight="1">
      <c r="E325" s="168"/>
      <c r="G325" s="168"/>
    </row>
    <row r="326" spans="5:7" ht="14.25" customHeight="1">
      <c r="E326" s="168"/>
      <c r="G326" s="168"/>
    </row>
    <row r="327" spans="5:7" ht="14.25" customHeight="1">
      <c r="E327" s="168"/>
      <c r="G327" s="168"/>
    </row>
    <row r="328" spans="5:7" ht="14.25" customHeight="1">
      <c r="E328" s="168"/>
      <c r="G328" s="168"/>
    </row>
    <row r="329" spans="5:7" ht="14.25" customHeight="1">
      <c r="E329" s="168"/>
      <c r="G329" s="168"/>
    </row>
    <row r="330" spans="5:7" ht="14.25" customHeight="1">
      <c r="E330" s="168"/>
      <c r="G330" s="168"/>
    </row>
    <row r="331" spans="5:7" ht="14.25" customHeight="1">
      <c r="E331" s="168"/>
      <c r="G331" s="168"/>
    </row>
    <row r="332" spans="5:7" ht="14.25" customHeight="1">
      <c r="E332" s="168"/>
      <c r="G332" s="168"/>
    </row>
    <row r="333" spans="5:7" ht="14.25" customHeight="1">
      <c r="E333" s="168"/>
      <c r="G333" s="168"/>
    </row>
    <row r="334" spans="5:7" ht="14.25" customHeight="1">
      <c r="E334" s="168"/>
      <c r="G334" s="168"/>
    </row>
    <row r="335" spans="5:7" ht="14.25" customHeight="1">
      <c r="E335" s="168"/>
      <c r="G335" s="168"/>
    </row>
    <row r="336" spans="5:7" ht="14.25" customHeight="1">
      <c r="E336" s="168"/>
      <c r="G336" s="168"/>
    </row>
    <row r="337" spans="5:7" ht="14.25" customHeight="1">
      <c r="E337" s="168"/>
      <c r="G337" s="168"/>
    </row>
    <row r="338" spans="5:7" ht="14.25" customHeight="1">
      <c r="E338" s="168"/>
      <c r="G338" s="168"/>
    </row>
    <row r="339" spans="5:7" ht="14.25" customHeight="1">
      <c r="E339" s="168"/>
      <c r="G339" s="168"/>
    </row>
    <row r="340" spans="5:7" ht="14.25" customHeight="1">
      <c r="E340" s="168"/>
      <c r="G340" s="168"/>
    </row>
    <row r="341" spans="5:7" ht="14.25" customHeight="1">
      <c r="E341" s="168"/>
      <c r="G341" s="168"/>
    </row>
    <row r="342" spans="5:7" ht="14.25" customHeight="1">
      <c r="E342" s="168"/>
      <c r="G342" s="168"/>
    </row>
    <row r="343" spans="5:7" ht="14.25" customHeight="1">
      <c r="E343" s="168"/>
      <c r="G343" s="168"/>
    </row>
    <row r="344" spans="5:7" ht="14.25" customHeight="1">
      <c r="E344" s="168"/>
      <c r="G344" s="168"/>
    </row>
    <row r="345" spans="5:7" ht="14.25" customHeight="1">
      <c r="E345" s="168"/>
      <c r="G345" s="168"/>
    </row>
    <row r="346" spans="5:7" ht="14.25" customHeight="1">
      <c r="E346" s="168"/>
      <c r="G346" s="168"/>
    </row>
    <row r="347" spans="5:7" ht="14.25" customHeight="1">
      <c r="E347" s="168"/>
      <c r="G347" s="168"/>
    </row>
    <row r="348" spans="5:7" ht="14.25" customHeight="1">
      <c r="E348" s="168"/>
      <c r="G348" s="168"/>
    </row>
    <row r="349" spans="5:7" ht="14.25" customHeight="1">
      <c r="E349" s="168"/>
      <c r="G349" s="168"/>
    </row>
    <row r="350" spans="5:7" ht="14.25" customHeight="1">
      <c r="E350" s="168"/>
      <c r="G350" s="168"/>
    </row>
    <row r="351" spans="5:7" ht="14.25" customHeight="1">
      <c r="E351" s="168"/>
      <c r="G351" s="168"/>
    </row>
    <row r="352" spans="5:7" ht="14.25" customHeight="1">
      <c r="E352" s="168"/>
      <c r="G352" s="168"/>
    </row>
    <row r="353" spans="5:7" ht="14.25" customHeight="1">
      <c r="E353" s="168"/>
      <c r="G353" s="168"/>
    </row>
    <row r="354" spans="5:7" ht="14.25" customHeight="1">
      <c r="E354" s="168"/>
      <c r="G354" s="168"/>
    </row>
    <row r="355" spans="5:7" ht="14.25" customHeight="1">
      <c r="E355" s="168"/>
      <c r="G355" s="168"/>
    </row>
    <row r="356" spans="5:7" ht="14.25" customHeight="1">
      <c r="E356" s="168"/>
      <c r="G356" s="168"/>
    </row>
    <row r="357" spans="5:7" ht="14.25" customHeight="1">
      <c r="E357" s="168"/>
      <c r="G357" s="168"/>
    </row>
    <row r="358" spans="5:7" ht="14.25" customHeight="1">
      <c r="E358" s="168"/>
      <c r="G358" s="168"/>
    </row>
    <row r="359" spans="5:7" ht="14.25" customHeight="1">
      <c r="E359" s="168"/>
      <c r="G359" s="168"/>
    </row>
    <row r="360" spans="5:7" ht="14.25" customHeight="1">
      <c r="E360" s="168"/>
      <c r="G360" s="168"/>
    </row>
    <row r="361" spans="5:7" ht="14.25" customHeight="1">
      <c r="E361" s="168"/>
      <c r="G361" s="168"/>
    </row>
    <row r="362" spans="5:7" ht="14.25" customHeight="1">
      <c r="E362" s="168"/>
      <c r="G362" s="168"/>
    </row>
    <row r="363" spans="5:7" ht="14.25" customHeight="1">
      <c r="E363" s="168"/>
      <c r="G363" s="168"/>
    </row>
    <row r="364" spans="5:7" ht="14.25" customHeight="1">
      <c r="E364" s="168"/>
      <c r="G364" s="168"/>
    </row>
    <row r="365" spans="5:7" ht="14.25" customHeight="1">
      <c r="E365" s="168"/>
      <c r="G365" s="168"/>
    </row>
    <row r="366" spans="5:7" ht="14.25" customHeight="1">
      <c r="E366" s="168"/>
      <c r="G366" s="168"/>
    </row>
    <row r="367" spans="5:7" ht="14.25" customHeight="1">
      <c r="E367" s="168"/>
      <c r="G367" s="168"/>
    </row>
    <row r="368" spans="5:7" ht="14.25" customHeight="1">
      <c r="E368" s="168"/>
      <c r="G368" s="168"/>
    </row>
    <row r="369" spans="5:7" ht="14.25" customHeight="1">
      <c r="E369" s="168"/>
      <c r="G369" s="168"/>
    </row>
    <row r="370" spans="5:7" ht="14.25" customHeight="1">
      <c r="E370" s="168"/>
      <c r="G370" s="168"/>
    </row>
    <row r="371" spans="5:7" ht="14.25" customHeight="1">
      <c r="E371" s="168"/>
      <c r="G371" s="168"/>
    </row>
    <row r="372" spans="5:7" ht="14.25" customHeight="1">
      <c r="E372" s="168"/>
      <c r="G372" s="168"/>
    </row>
    <row r="373" spans="5:7" ht="14.25" customHeight="1">
      <c r="E373" s="168"/>
      <c r="G373" s="168"/>
    </row>
    <row r="374" spans="5:7" ht="14.25" customHeight="1">
      <c r="E374" s="168"/>
      <c r="G374" s="168"/>
    </row>
    <row r="375" spans="5:7" ht="14.25" customHeight="1">
      <c r="E375" s="168"/>
      <c r="G375" s="168"/>
    </row>
    <row r="376" spans="5:7" ht="14.25" customHeight="1">
      <c r="E376" s="168"/>
      <c r="G376" s="168"/>
    </row>
    <row r="377" spans="5:7" ht="14.25" customHeight="1">
      <c r="E377" s="168"/>
      <c r="G377" s="168"/>
    </row>
    <row r="378" spans="5:7" ht="14.25" customHeight="1">
      <c r="E378" s="168"/>
      <c r="G378" s="168"/>
    </row>
    <row r="379" spans="5:7" ht="14.25" customHeight="1">
      <c r="E379" s="168"/>
      <c r="G379" s="168"/>
    </row>
    <row r="380" spans="5:7" ht="14.25" customHeight="1">
      <c r="E380" s="168"/>
      <c r="G380" s="168"/>
    </row>
    <row r="381" spans="5:7" ht="14.25" customHeight="1">
      <c r="E381" s="168"/>
      <c r="G381" s="168"/>
    </row>
    <row r="382" spans="5:7" ht="14.25" customHeight="1">
      <c r="E382" s="168"/>
      <c r="G382" s="168"/>
    </row>
    <row r="383" spans="5:7" ht="14.25" customHeight="1">
      <c r="E383" s="168"/>
      <c r="G383" s="168"/>
    </row>
    <row r="384" spans="5:7" ht="14.25" customHeight="1">
      <c r="E384" s="168"/>
      <c r="G384" s="168"/>
    </row>
    <row r="385" spans="5:7" ht="14.25" customHeight="1">
      <c r="E385" s="168"/>
      <c r="G385" s="168"/>
    </row>
    <row r="386" spans="5:7" ht="14.25" customHeight="1">
      <c r="E386" s="168"/>
      <c r="G386" s="168"/>
    </row>
    <row r="387" spans="5:7" ht="14.25" customHeight="1">
      <c r="E387" s="168"/>
      <c r="G387" s="168"/>
    </row>
    <row r="388" spans="5:7" ht="14.25" customHeight="1">
      <c r="E388" s="168"/>
      <c r="G388" s="168"/>
    </row>
    <row r="389" spans="5:7" ht="14.25" customHeight="1">
      <c r="E389" s="168"/>
      <c r="G389" s="168"/>
    </row>
    <row r="390" spans="5:7" ht="14.25" customHeight="1">
      <c r="E390" s="168"/>
      <c r="G390" s="168"/>
    </row>
    <row r="391" spans="5:7" ht="14.25" customHeight="1">
      <c r="E391" s="168"/>
      <c r="G391" s="168"/>
    </row>
    <row r="392" spans="5:7" ht="14.25" customHeight="1">
      <c r="E392" s="168"/>
      <c r="G392" s="168"/>
    </row>
    <row r="393" spans="5:7" ht="14.25" customHeight="1">
      <c r="E393" s="168"/>
      <c r="G393" s="168"/>
    </row>
    <row r="394" spans="5:7" ht="14.25" customHeight="1">
      <c r="E394" s="168"/>
      <c r="G394" s="168"/>
    </row>
    <row r="395" spans="5:7" ht="14.25" customHeight="1">
      <c r="E395" s="168"/>
      <c r="G395" s="168"/>
    </row>
    <row r="396" spans="5:7" ht="14.25" customHeight="1">
      <c r="E396" s="168"/>
      <c r="G396" s="168"/>
    </row>
    <row r="397" spans="5:7" ht="14.25" customHeight="1">
      <c r="E397" s="168"/>
      <c r="G397" s="168"/>
    </row>
    <row r="398" spans="5:7" ht="14.25" customHeight="1">
      <c r="E398" s="168"/>
      <c r="G398" s="168"/>
    </row>
    <row r="399" spans="5:7" ht="14.25" customHeight="1">
      <c r="E399" s="168"/>
      <c r="G399" s="168"/>
    </row>
    <row r="400" spans="5:7" ht="14.25" customHeight="1">
      <c r="E400" s="168"/>
      <c r="G400" s="168"/>
    </row>
    <row r="401" spans="5:7" ht="14.25" customHeight="1">
      <c r="E401" s="168"/>
      <c r="G401" s="168"/>
    </row>
    <row r="402" spans="5:7" ht="14.25" customHeight="1">
      <c r="E402" s="168"/>
      <c r="G402" s="168"/>
    </row>
    <row r="403" spans="5:7" ht="14.25" customHeight="1">
      <c r="E403" s="168"/>
      <c r="G403" s="168"/>
    </row>
    <row r="404" spans="5:7" ht="14.25" customHeight="1">
      <c r="E404" s="168"/>
      <c r="G404" s="168"/>
    </row>
    <row r="405" spans="5:7" ht="14.25" customHeight="1">
      <c r="E405" s="168"/>
      <c r="G405" s="168"/>
    </row>
    <row r="406" spans="5:7" ht="14.25" customHeight="1">
      <c r="E406" s="168"/>
      <c r="G406" s="168"/>
    </row>
    <row r="407" spans="5:7" ht="14.25" customHeight="1">
      <c r="E407" s="168"/>
      <c r="G407" s="168"/>
    </row>
    <row r="408" spans="5:7" ht="14.25" customHeight="1">
      <c r="E408" s="168"/>
      <c r="G408" s="168"/>
    </row>
    <row r="409" spans="5:7" ht="14.25" customHeight="1">
      <c r="E409" s="168"/>
      <c r="G409" s="168"/>
    </row>
    <row r="410" spans="5:7" ht="14.25" customHeight="1">
      <c r="E410" s="168"/>
      <c r="G410" s="168"/>
    </row>
    <row r="411" spans="5:7" ht="14.25" customHeight="1">
      <c r="E411" s="168"/>
      <c r="G411" s="168"/>
    </row>
    <row r="412" spans="5:7" ht="14.25" customHeight="1">
      <c r="E412" s="168"/>
      <c r="G412" s="168"/>
    </row>
    <row r="413" spans="5:7" ht="14.25" customHeight="1">
      <c r="E413" s="168"/>
      <c r="G413" s="168"/>
    </row>
    <row r="414" spans="5:7" ht="14.25" customHeight="1">
      <c r="E414" s="168"/>
      <c r="G414" s="168"/>
    </row>
    <row r="415" spans="5:7" ht="14.25" customHeight="1">
      <c r="E415" s="168"/>
      <c r="G415" s="168"/>
    </row>
    <row r="416" spans="5:7" ht="14.25" customHeight="1">
      <c r="E416" s="168"/>
      <c r="G416" s="168"/>
    </row>
    <row r="417" spans="5:7" ht="14.25" customHeight="1">
      <c r="E417" s="168"/>
      <c r="G417" s="168"/>
    </row>
    <row r="418" spans="5:7" ht="14.25" customHeight="1">
      <c r="E418" s="168"/>
      <c r="G418" s="168"/>
    </row>
    <row r="419" spans="5:7" ht="14.25" customHeight="1">
      <c r="E419" s="168"/>
      <c r="G419" s="168"/>
    </row>
    <row r="420" spans="5:7" ht="14.25" customHeight="1">
      <c r="E420" s="168"/>
      <c r="G420" s="168"/>
    </row>
    <row r="421" spans="5:7" ht="14.25" customHeight="1">
      <c r="E421" s="168"/>
      <c r="G421" s="168"/>
    </row>
    <row r="422" spans="5:7" ht="14.25" customHeight="1">
      <c r="E422" s="168"/>
      <c r="G422" s="168"/>
    </row>
    <row r="423" spans="5:7" ht="14.25" customHeight="1">
      <c r="E423" s="168"/>
      <c r="G423" s="168"/>
    </row>
    <row r="424" spans="5:7" ht="14.25" customHeight="1">
      <c r="E424" s="168"/>
      <c r="G424" s="168"/>
    </row>
    <row r="425" spans="5:7" ht="14.25" customHeight="1">
      <c r="E425" s="168"/>
      <c r="G425" s="168"/>
    </row>
    <row r="426" spans="5:7" ht="14.25" customHeight="1">
      <c r="E426" s="168"/>
      <c r="G426" s="168"/>
    </row>
    <row r="427" spans="5:7" ht="14.25" customHeight="1">
      <c r="E427" s="168"/>
      <c r="G427" s="168"/>
    </row>
    <row r="428" spans="5:7" ht="14.25" customHeight="1">
      <c r="E428" s="168"/>
      <c r="G428" s="168"/>
    </row>
    <row r="429" spans="5:7" ht="14.25" customHeight="1">
      <c r="E429" s="168"/>
      <c r="G429" s="168"/>
    </row>
    <row r="430" spans="5:7" ht="14.25" customHeight="1">
      <c r="E430" s="168"/>
      <c r="G430" s="168"/>
    </row>
    <row r="431" spans="5:7" ht="14.25" customHeight="1">
      <c r="E431" s="168"/>
      <c r="G431" s="168"/>
    </row>
    <row r="432" spans="5:7" ht="14.25" customHeight="1">
      <c r="E432" s="168"/>
      <c r="G432" s="168"/>
    </row>
    <row r="433" spans="5:7" ht="14.25" customHeight="1">
      <c r="E433" s="168"/>
      <c r="G433" s="168"/>
    </row>
    <row r="434" spans="5:7" ht="14.25" customHeight="1">
      <c r="E434" s="168"/>
      <c r="G434" s="168"/>
    </row>
    <row r="435" spans="5:7" ht="14.25" customHeight="1">
      <c r="E435" s="168"/>
      <c r="G435" s="168"/>
    </row>
    <row r="436" spans="5:7" ht="14.25" customHeight="1">
      <c r="E436" s="168"/>
      <c r="G436" s="168"/>
    </row>
    <row r="437" spans="5:7" ht="14.25" customHeight="1">
      <c r="E437" s="168"/>
      <c r="G437" s="168"/>
    </row>
    <row r="438" spans="5:7" ht="14.25" customHeight="1">
      <c r="E438" s="168"/>
      <c r="G438" s="168"/>
    </row>
    <row r="439" spans="5:7" ht="14.25" customHeight="1">
      <c r="E439" s="168"/>
      <c r="G439" s="168"/>
    </row>
    <row r="440" spans="5:7" ht="14.25" customHeight="1">
      <c r="E440" s="168"/>
      <c r="G440" s="168"/>
    </row>
    <row r="441" spans="5:7" ht="14.25" customHeight="1">
      <c r="E441" s="168"/>
      <c r="G441" s="168"/>
    </row>
    <row r="442" spans="5:7" ht="14.25" customHeight="1">
      <c r="E442" s="168"/>
      <c r="G442" s="168"/>
    </row>
    <row r="443" spans="5:7" ht="14.25" customHeight="1">
      <c r="E443" s="168"/>
      <c r="G443" s="168"/>
    </row>
    <row r="444" spans="5:7" ht="14.25" customHeight="1">
      <c r="E444" s="168"/>
      <c r="G444" s="168"/>
    </row>
    <row r="445" spans="5:7" ht="14.25" customHeight="1">
      <c r="E445" s="168"/>
      <c r="G445" s="168"/>
    </row>
    <row r="446" spans="5:7" ht="14.25" customHeight="1">
      <c r="E446" s="168"/>
      <c r="G446" s="168"/>
    </row>
    <row r="447" spans="5:7" ht="14.25" customHeight="1">
      <c r="E447" s="168"/>
      <c r="G447" s="168"/>
    </row>
    <row r="448" spans="5:7" ht="14.25" customHeight="1">
      <c r="E448" s="168"/>
      <c r="G448" s="168"/>
    </row>
    <row r="449" spans="5:7" ht="14.25" customHeight="1">
      <c r="E449" s="168"/>
      <c r="G449" s="168"/>
    </row>
    <row r="450" spans="5:7" ht="14.25" customHeight="1">
      <c r="E450" s="168"/>
      <c r="G450" s="168"/>
    </row>
    <row r="451" spans="5:7" ht="14.25" customHeight="1">
      <c r="E451" s="168"/>
      <c r="G451" s="168"/>
    </row>
    <row r="452" spans="5:7" ht="14.25" customHeight="1">
      <c r="E452" s="168"/>
      <c r="G452" s="168"/>
    </row>
    <row r="453" spans="5:7" ht="14.25" customHeight="1">
      <c r="E453" s="168"/>
      <c r="G453" s="168"/>
    </row>
    <row r="454" spans="5:7" ht="14.25" customHeight="1">
      <c r="E454" s="168"/>
      <c r="G454" s="168"/>
    </row>
    <row r="455" spans="5:7" ht="14.25" customHeight="1">
      <c r="E455" s="168"/>
      <c r="G455" s="168"/>
    </row>
    <row r="456" spans="5:7" ht="14.25" customHeight="1">
      <c r="E456" s="168"/>
      <c r="G456" s="168"/>
    </row>
    <row r="457" spans="5:7" ht="14.25" customHeight="1">
      <c r="E457" s="168"/>
      <c r="G457" s="168"/>
    </row>
    <row r="458" spans="5:7" ht="14.25" customHeight="1">
      <c r="E458" s="168"/>
      <c r="G458" s="168"/>
    </row>
    <row r="459" spans="5:7" ht="14.25" customHeight="1">
      <c r="E459" s="168"/>
      <c r="G459" s="168"/>
    </row>
    <row r="460" spans="5:7" ht="14.25" customHeight="1">
      <c r="E460" s="168"/>
      <c r="G460" s="168"/>
    </row>
    <row r="461" spans="5:7" ht="14.25" customHeight="1">
      <c r="E461" s="168"/>
      <c r="G461" s="168"/>
    </row>
    <row r="462" spans="5:7" ht="14.25" customHeight="1">
      <c r="E462" s="168"/>
      <c r="G462" s="168"/>
    </row>
    <row r="463" spans="5:7" ht="14.25" customHeight="1">
      <c r="E463" s="168"/>
      <c r="G463" s="168"/>
    </row>
    <row r="464" spans="5:7" ht="14.25" customHeight="1">
      <c r="E464" s="168"/>
      <c r="G464" s="168"/>
    </row>
    <row r="465" spans="5:7" ht="14.25" customHeight="1">
      <c r="E465" s="168"/>
      <c r="G465" s="168"/>
    </row>
    <row r="466" spans="5:7" ht="14.25" customHeight="1">
      <c r="E466" s="168"/>
      <c r="G466" s="168"/>
    </row>
    <row r="467" spans="5:7" ht="14.25" customHeight="1">
      <c r="E467" s="168"/>
      <c r="G467" s="168"/>
    </row>
    <row r="468" spans="5:7" ht="14.25" customHeight="1">
      <c r="E468" s="168"/>
      <c r="G468" s="168"/>
    </row>
    <row r="469" spans="5:7" ht="14.25" customHeight="1">
      <c r="E469" s="168"/>
      <c r="G469" s="168"/>
    </row>
    <row r="470" spans="5:7" ht="14.25" customHeight="1">
      <c r="E470" s="168"/>
      <c r="G470" s="168"/>
    </row>
    <row r="471" spans="5:7" ht="14.25" customHeight="1">
      <c r="E471" s="168"/>
      <c r="G471" s="168"/>
    </row>
    <row r="472" spans="5:7" ht="14.25" customHeight="1">
      <c r="E472" s="168"/>
      <c r="G472" s="168"/>
    </row>
    <row r="473" spans="5:7" ht="14.25" customHeight="1">
      <c r="E473" s="168"/>
      <c r="G473" s="168"/>
    </row>
    <row r="474" spans="5:7" ht="14.25" customHeight="1">
      <c r="E474" s="168"/>
      <c r="G474" s="168"/>
    </row>
    <row r="475" spans="5:7" ht="14.25" customHeight="1">
      <c r="E475" s="168"/>
      <c r="G475" s="168"/>
    </row>
    <row r="476" spans="5:7" ht="14.25" customHeight="1">
      <c r="E476" s="168"/>
      <c r="G476" s="168"/>
    </row>
    <row r="477" spans="5:7" ht="14.25" customHeight="1">
      <c r="E477" s="168"/>
      <c r="G477" s="168"/>
    </row>
    <row r="478" spans="5:7" ht="14.25" customHeight="1">
      <c r="E478" s="168"/>
      <c r="G478" s="168"/>
    </row>
    <row r="479" spans="5:7" ht="14.25" customHeight="1">
      <c r="E479" s="168"/>
      <c r="G479" s="168"/>
    </row>
    <row r="480" spans="5:7" ht="14.25" customHeight="1">
      <c r="E480" s="168"/>
      <c r="G480" s="168"/>
    </row>
    <row r="481" spans="5:7" ht="14.25" customHeight="1">
      <c r="E481" s="168"/>
      <c r="G481" s="168"/>
    </row>
    <row r="482" spans="5:7" ht="14.25" customHeight="1">
      <c r="E482" s="168"/>
      <c r="G482" s="168"/>
    </row>
    <row r="483" spans="5:7" ht="14.25" customHeight="1">
      <c r="E483" s="168"/>
      <c r="G483" s="168"/>
    </row>
    <row r="484" spans="5:7" ht="14.25" customHeight="1">
      <c r="E484" s="168"/>
      <c r="G484" s="168"/>
    </row>
    <row r="485" spans="5:7" ht="14.25" customHeight="1">
      <c r="E485" s="168"/>
      <c r="G485" s="168"/>
    </row>
    <row r="486" spans="5:7" ht="14.25" customHeight="1">
      <c r="E486" s="168"/>
      <c r="G486" s="168"/>
    </row>
    <row r="487" spans="5:7" ht="14.25" customHeight="1">
      <c r="E487" s="168"/>
      <c r="G487" s="168"/>
    </row>
    <row r="488" spans="5:7" ht="14.25" customHeight="1">
      <c r="E488" s="168"/>
      <c r="G488" s="168"/>
    </row>
    <row r="489" spans="5:7" ht="14.25" customHeight="1">
      <c r="E489" s="168"/>
      <c r="G489" s="168"/>
    </row>
    <row r="490" spans="5:7" ht="14.25" customHeight="1">
      <c r="E490" s="168"/>
      <c r="G490" s="168"/>
    </row>
    <row r="491" spans="5:7" ht="14.25" customHeight="1">
      <c r="E491" s="168"/>
      <c r="G491" s="168"/>
    </row>
    <row r="492" spans="5:7" ht="14.25" customHeight="1">
      <c r="E492" s="168"/>
      <c r="G492" s="168"/>
    </row>
    <row r="493" spans="5:7" ht="14.25" customHeight="1">
      <c r="E493" s="168"/>
      <c r="G493" s="168"/>
    </row>
    <row r="494" spans="5:7" ht="14.25" customHeight="1">
      <c r="E494" s="168"/>
      <c r="G494" s="168"/>
    </row>
    <row r="495" spans="5:7" ht="14.25" customHeight="1">
      <c r="E495" s="168"/>
      <c r="G495" s="168"/>
    </row>
    <row r="496" spans="5:7" ht="14.25" customHeight="1">
      <c r="E496" s="168"/>
      <c r="G496" s="168"/>
    </row>
    <row r="497" spans="5:7" ht="14.25" customHeight="1">
      <c r="E497" s="168"/>
      <c r="G497" s="168"/>
    </row>
    <row r="498" spans="5:7" ht="14.25" customHeight="1">
      <c r="E498" s="168"/>
      <c r="G498" s="168"/>
    </row>
    <row r="499" spans="5:7" ht="14.25" customHeight="1">
      <c r="E499" s="168"/>
      <c r="G499" s="168"/>
    </row>
    <row r="500" spans="5:7" ht="14.25" customHeight="1">
      <c r="E500" s="168"/>
      <c r="G500" s="168"/>
    </row>
    <row r="501" spans="5:7" ht="14.25" customHeight="1">
      <c r="E501" s="168"/>
      <c r="G501" s="168"/>
    </row>
    <row r="502" spans="5:7" ht="14.25" customHeight="1">
      <c r="E502" s="168"/>
      <c r="G502" s="168"/>
    </row>
    <row r="503" spans="5:7" ht="14.25" customHeight="1">
      <c r="E503" s="168"/>
      <c r="G503" s="168"/>
    </row>
    <row r="504" spans="5:7" ht="14.25" customHeight="1">
      <c r="E504" s="168"/>
      <c r="G504" s="168"/>
    </row>
    <row r="505" spans="5:7" ht="14.25" customHeight="1">
      <c r="E505" s="168"/>
      <c r="G505" s="168"/>
    </row>
    <row r="506" spans="5:7" ht="14.25" customHeight="1">
      <c r="E506" s="168"/>
      <c r="G506" s="168"/>
    </row>
    <row r="507" spans="5:7" ht="14.25" customHeight="1">
      <c r="E507" s="168"/>
      <c r="G507" s="168"/>
    </row>
    <row r="508" spans="5:7" ht="14.25" customHeight="1">
      <c r="E508" s="168"/>
      <c r="G508" s="168"/>
    </row>
    <row r="509" spans="5:7" ht="14.25" customHeight="1">
      <c r="E509" s="168"/>
      <c r="G509" s="168"/>
    </row>
    <row r="510" spans="5:7" ht="14.25" customHeight="1">
      <c r="E510" s="168"/>
      <c r="G510" s="168"/>
    </row>
    <row r="511" spans="5:7" ht="14.25" customHeight="1">
      <c r="E511" s="168"/>
      <c r="G511" s="168"/>
    </row>
    <row r="512" spans="5:7" ht="14.25" customHeight="1">
      <c r="E512" s="168"/>
      <c r="G512" s="168"/>
    </row>
    <row r="513" spans="5:7" ht="14.25" customHeight="1">
      <c r="E513" s="168"/>
      <c r="G513" s="168"/>
    </row>
    <row r="514" spans="5:7" ht="14.25" customHeight="1">
      <c r="E514" s="168"/>
      <c r="G514" s="168"/>
    </row>
    <row r="515" spans="5:7" ht="14.25" customHeight="1">
      <c r="E515" s="168"/>
      <c r="G515" s="168"/>
    </row>
    <row r="516" spans="5:7" ht="14.25" customHeight="1">
      <c r="E516" s="168"/>
      <c r="G516" s="168"/>
    </row>
    <row r="517" spans="5:7" ht="14.25" customHeight="1">
      <c r="E517" s="168"/>
      <c r="G517" s="168"/>
    </row>
    <row r="518" spans="5:7" ht="14.25" customHeight="1">
      <c r="E518" s="168"/>
      <c r="G518" s="168"/>
    </row>
    <row r="519" spans="5:7" ht="14.25" customHeight="1">
      <c r="E519" s="168"/>
      <c r="G519" s="168"/>
    </row>
    <row r="520" spans="5:7" ht="14.25" customHeight="1">
      <c r="E520" s="168"/>
      <c r="G520" s="168"/>
    </row>
    <row r="521" spans="5:7" ht="14.25" customHeight="1">
      <c r="E521" s="168"/>
      <c r="G521" s="168"/>
    </row>
    <row r="522" spans="5:7" ht="14.25" customHeight="1">
      <c r="E522" s="168"/>
      <c r="G522" s="168"/>
    </row>
    <row r="523" spans="5:7" ht="14.25" customHeight="1">
      <c r="E523" s="168"/>
      <c r="G523" s="168"/>
    </row>
    <row r="524" spans="5:7" ht="14.25" customHeight="1">
      <c r="E524" s="168"/>
      <c r="G524" s="168"/>
    </row>
    <row r="525" spans="5:7" ht="14.25" customHeight="1">
      <c r="E525" s="168"/>
      <c r="G525" s="168"/>
    </row>
    <row r="526" spans="5:7" ht="14.25" customHeight="1">
      <c r="E526" s="168"/>
      <c r="G526" s="168"/>
    </row>
    <row r="527" spans="5:7" ht="14.25" customHeight="1">
      <c r="E527" s="168"/>
      <c r="G527" s="168"/>
    </row>
    <row r="528" spans="5:7" ht="14.25" customHeight="1">
      <c r="E528" s="168"/>
      <c r="G528" s="168"/>
    </row>
    <row r="529" spans="5:7" ht="14.25" customHeight="1">
      <c r="E529" s="168"/>
      <c r="G529" s="168"/>
    </row>
    <row r="530" spans="5:7" ht="14.25" customHeight="1">
      <c r="E530" s="168"/>
      <c r="G530" s="168"/>
    </row>
    <row r="531" spans="5:7" ht="14.25" customHeight="1">
      <c r="E531" s="168"/>
      <c r="G531" s="168"/>
    </row>
    <row r="532" spans="5:7" ht="14.25" customHeight="1">
      <c r="E532" s="168"/>
      <c r="G532" s="168"/>
    </row>
    <row r="533" spans="5:7" ht="14.25" customHeight="1">
      <c r="E533" s="168"/>
      <c r="G533" s="168"/>
    </row>
    <row r="534" spans="5:7" ht="14.25" customHeight="1">
      <c r="E534" s="168"/>
      <c r="G534" s="168"/>
    </row>
    <row r="535" spans="5:7" ht="14.25" customHeight="1">
      <c r="E535" s="168"/>
      <c r="G535" s="168"/>
    </row>
    <row r="536" spans="5:7" ht="14.25" customHeight="1">
      <c r="E536" s="168"/>
      <c r="G536" s="168"/>
    </row>
    <row r="537" spans="5:7" ht="14.25" customHeight="1">
      <c r="E537" s="168"/>
      <c r="G537" s="168"/>
    </row>
    <row r="538" spans="5:7" ht="14.25" customHeight="1">
      <c r="E538" s="168"/>
      <c r="G538" s="168"/>
    </row>
    <row r="539" spans="5:7" ht="14.25" customHeight="1">
      <c r="E539" s="168"/>
      <c r="G539" s="168"/>
    </row>
    <row r="540" spans="5:7" ht="14.25" customHeight="1">
      <c r="E540" s="168"/>
      <c r="G540" s="168"/>
    </row>
    <row r="541" spans="5:7" ht="14.25" customHeight="1">
      <c r="E541" s="168"/>
      <c r="G541" s="168"/>
    </row>
    <row r="542" spans="5:7" ht="14.25" customHeight="1">
      <c r="E542" s="168"/>
      <c r="G542" s="168"/>
    </row>
    <row r="543" spans="5:7" ht="14.25" customHeight="1">
      <c r="E543" s="168"/>
      <c r="G543" s="168"/>
    </row>
    <row r="544" spans="5:7" ht="14.25" customHeight="1">
      <c r="E544" s="168"/>
      <c r="G544" s="168"/>
    </row>
    <row r="545" spans="5:7" ht="14.25" customHeight="1">
      <c r="E545" s="168"/>
      <c r="G545" s="168"/>
    </row>
    <row r="546" spans="5:7" ht="14.25" customHeight="1">
      <c r="E546" s="168"/>
      <c r="G546" s="168"/>
    </row>
    <row r="547" spans="5:7" ht="14.25" customHeight="1">
      <c r="E547" s="168"/>
      <c r="G547" s="168"/>
    </row>
    <row r="548" spans="5:7" ht="14.25" customHeight="1">
      <c r="E548" s="168"/>
      <c r="G548" s="168"/>
    </row>
    <row r="549" spans="5:7" ht="14.25" customHeight="1">
      <c r="E549" s="168"/>
      <c r="G549" s="168"/>
    </row>
    <row r="550" spans="5:7" ht="14.25" customHeight="1">
      <c r="E550" s="168"/>
      <c r="G550" s="168"/>
    </row>
    <row r="551" spans="5:7" ht="14.25" customHeight="1">
      <c r="E551" s="168"/>
      <c r="G551" s="168"/>
    </row>
    <row r="552" spans="5:7" ht="14.25" customHeight="1">
      <c r="E552" s="168"/>
      <c r="G552" s="168"/>
    </row>
    <row r="553" spans="5:7" ht="14.25" customHeight="1">
      <c r="E553" s="168"/>
      <c r="G553" s="168"/>
    </row>
    <row r="554" spans="5:7" ht="14.25" customHeight="1">
      <c r="E554" s="168"/>
      <c r="G554" s="168"/>
    </row>
    <row r="555" spans="5:7" ht="14.25" customHeight="1">
      <c r="E555" s="168"/>
      <c r="G555" s="168"/>
    </row>
    <row r="556" spans="5:7" ht="14.25" customHeight="1">
      <c r="E556" s="168"/>
      <c r="G556" s="168"/>
    </row>
    <row r="557" spans="5:7" ht="14.25" customHeight="1">
      <c r="E557" s="168"/>
      <c r="G557" s="168"/>
    </row>
    <row r="558" spans="5:7" ht="14.25" customHeight="1">
      <c r="E558" s="168"/>
      <c r="G558" s="168"/>
    </row>
    <row r="559" spans="5:7" ht="14.25" customHeight="1">
      <c r="E559" s="168"/>
      <c r="G559" s="168"/>
    </row>
    <row r="560" spans="5:7" ht="14.25" customHeight="1">
      <c r="E560" s="168"/>
      <c r="G560" s="168"/>
    </row>
    <row r="561" spans="5:7" ht="14.25" customHeight="1">
      <c r="E561" s="168"/>
      <c r="G561" s="168"/>
    </row>
    <row r="562" spans="5:7" ht="14.25" customHeight="1">
      <c r="E562" s="168"/>
      <c r="G562" s="168"/>
    </row>
    <row r="563" spans="5:7" ht="14.25" customHeight="1">
      <c r="E563" s="168"/>
      <c r="G563" s="168"/>
    </row>
    <row r="564" spans="5:7" ht="14.25" customHeight="1">
      <c r="E564" s="168"/>
      <c r="G564" s="168"/>
    </row>
    <row r="565" spans="5:7" ht="14.25" customHeight="1">
      <c r="E565" s="168"/>
      <c r="G565" s="168"/>
    </row>
    <row r="566" spans="5:7" ht="14.25" customHeight="1">
      <c r="E566" s="168"/>
      <c r="G566" s="168"/>
    </row>
    <row r="567" spans="5:7" ht="14.25" customHeight="1">
      <c r="E567" s="168"/>
      <c r="G567" s="168"/>
    </row>
    <row r="568" spans="5:7" ht="14.25" customHeight="1">
      <c r="E568" s="168"/>
      <c r="G568" s="168"/>
    </row>
    <row r="569" spans="5:7" ht="14.25" customHeight="1">
      <c r="E569" s="168"/>
      <c r="G569" s="168"/>
    </row>
    <row r="570" spans="5:7" ht="14.25" customHeight="1">
      <c r="E570" s="168"/>
      <c r="G570" s="168"/>
    </row>
    <row r="571" spans="5:7" ht="14.25" customHeight="1">
      <c r="E571" s="168"/>
      <c r="G571" s="168"/>
    </row>
    <row r="572" spans="5:7" ht="14.25" customHeight="1">
      <c r="E572" s="168"/>
      <c r="G572" s="168"/>
    </row>
    <row r="573" spans="5:7" ht="14.25" customHeight="1">
      <c r="E573" s="168"/>
      <c r="G573" s="168"/>
    </row>
    <row r="574" spans="5:7" ht="14.25" customHeight="1">
      <c r="E574" s="168"/>
      <c r="G574" s="168"/>
    </row>
    <row r="575" spans="5:7" ht="14.25" customHeight="1">
      <c r="E575" s="168"/>
      <c r="G575" s="168"/>
    </row>
    <row r="576" spans="5:7" ht="14.25" customHeight="1">
      <c r="E576" s="168"/>
      <c r="G576" s="168"/>
    </row>
    <row r="577" spans="5:7" ht="14.25" customHeight="1">
      <c r="E577" s="168"/>
      <c r="G577" s="168"/>
    </row>
    <row r="578" spans="5:7" ht="14.25" customHeight="1">
      <c r="E578" s="168"/>
      <c r="G578" s="168"/>
    </row>
    <row r="579" spans="5:7" ht="14.25" customHeight="1">
      <c r="E579" s="168"/>
      <c r="G579" s="168"/>
    </row>
    <row r="580" spans="5:7" ht="14.25" customHeight="1">
      <c r="E580" s="168"/>
      <c r="G580" s="168"/>
    </row>
    <row r="581" spans="5:7" ht="14.25" customHeight="1">
      <c r="E581" s="168"/>
      <c r="G581" s="168"/>
    </row>
    <row r="582" spans="5:7" ht="14.25" customHeight="1">
      <c r="E582" s="168"/>
      <c r="G582" s="168"/>
    </row>
    <row r="583" spans="5:7" ht="14.25" customHeight="1">
      <c r="E583" s="168"/>
      <c r="G583" s="168"/>
    </row>
    <row r="584" spans="5:7" ht="14.25" customHeight="1">
      <c r="E584" s="168"/>
      <c r="G584" s="168"/>
    </row>
    <row r="585" spans="5:7" ht="14.25" customHeight="1">
      <c r="E585" s="168"/>
      <c r="G585" s="168"/>
    </row>
    <row r="586" spans="5:7" ht="14.25" customHeight="1">
      <c r="E586" s="168"/>
      <c r="G586" s="168"/>
    </row>
    <row r="587" spans="5:7" ht="14.25" customHeight="1">
      <c r="E587" s="168"/>
      <c r="G587" s="168"/>
    </row>
    <row r="588" spans="5:7" ht="14.25" customHeight="1">
      <c r="E588" s="168"/>
      <c r="G588" s="168"/>
    </row>
    <row r="589" spans="5:7" ht="14.25" customHeight="1">
      <c r="E589" s="168"/>
      <c r="G589" s="168"/>
    </row>
    <row r="590" spans="5:7" ht="14.25" customHeight="1">
      <c r="E590" s="168"/>
      <c r="G590" s="168"/>
    </row>
    <row r="591" spans="5:7" ht="14.25" customHeight="1">
      <c r="E591" s="168"/>
      <c r="G591" s="168"/>
    </row>
    <row r="592" spans="5:7" ht="14.25" customHeight="1">
      <c r="E592" s="168"/>
      <c r="G592" s="168"/>
    </row>
    <row r="593" spans="5:7" ht="14.25" customHeight="1">
      <c r="E593" s="168"/>
      <c r="G593" s="168"/>
    </row>
    <row r="594" spans="5:7" ht="14.25" customHeight="1">
      <c r="E594" s="168"/>
      <c r="G594" s="168"/>
    </row>
    <row r="595" spans="5:7" ht="14.25" customHeight="1">
      <c r="E595" s="168"/>
      <c r="G595" s="168"/>
    </row>
    <row r="596" spans="5:7" ht="14.25" customHeight="1">
      <c r="E596" s="168"/>
      <c r="G596" s="168"/>
    </row>
    <row r="597" spans="5:7" ht="14.25" customHeight="1">
      <c r="E597" s="168"/>
      <c r="G597" s="168"/>
    </row>
    <row r="598" spans="5:7" ht="14.25" customHeight="1">
      <c r="E598" s="168"/>
      <c r="G598" s="168"/>
    </row>
    <row r="599" spans="5:7" ht="14.25" customHeight="1">
      <c r="E599" s="168"/>
      <c r="G599" s="168"/>
    </row>
    <row r="600" spans="5:7" ht="14.25" customHeight="1">
      <c r="E600" s="168"/>
      <c r="G600" s="168"/>
    </row>
    <row r="601" spans="5:7" ht="14.25" customHeight="1">
      <c r="E601" s="168"/>
      <c r="G601" s="168"/>
    </row>
    <row r="602" spans="5:7" ht="14.25" customHeight="1">
      <c r="E602" s="168"/>
      <c r="G602" s="168"/>
    </row>
    <row r="603" spans="5:7" ht="14.25" customHeight="1">
      <c r="E603" s="168"/>
      <c r="G603" s="168"/>
    </row>
    <row r="604" spans="5:7" ht="14.25" customHeight="1">
      <c r="E604" s="168"/>
      <c r="G604" s="168"/>
    </row>
    <row r="605" spans="5:7" ht="14.25" customHeight="1">
      <c r="E605" s="168"/>
      <c r="G605" s="168"/>
    </row>
    <row r="606" spans="5:7" ht="14.25" customHeight="1">
      <c r="E606" s="168"/>
      <c r="G606" s="168"/>
    </row>
    <row r="607" spans="5:7" ht="14.25" customHeight="1">
      <c r="E607" s="168"/>
      <c r="G607" s="168"/>
    </row>
    <row r="608" spans="5:7" ht="14.25" customHeight="1">
      <c r="E608" s="168"/>
      <c r="G608" s="168"/>
    </row>
    <row r="609" spans="5:7" ht="14.25" customHeight="1">
      <c r="E609" s="168"/>
      <c r="G609" s="168"/>
    </row>
    <row r="610" spans="5:7" ht="14.25" customHeight="1">
      <c r="E610" s="168"/>
      <c r="G610" s="168"/>
    </row>
    <row r="611" spans="5:7" ht="14.25" customHeight="1">
      <c r="E611" s="168"/>
      <c r="G611" s="168"/>
    </row>
    <row r="612" spans="5:7" ht="14.25" customHeight="1">
      <c r="E612" s="168"/>
      <c r="G612" s="168"/>
    </row>
    <row r="613" spans="5:7" ht="14.25" customHeight="1">
      <c r="E613" s="168"/>
      <c r="G613" s="168"/>
    </row>
    <row r="614" spans="5:7" ht="14.25" customHeight="1">
      <c r="E614" s="168"/>
      <c r="G614" s="168"/>
    </row>
    <row r="615" spans="5:7" ht="14.25" customHeight="1">
      <c r="E615" s="168"/>
      <c r="G615" s="168"/>
    </row>
    <row r="616" spans="5:7" ht="14.25" customHeight="1">
      <c r="E616" s="168"/>
      <c r="G616" s="168"/>
    </row>
    <row r="617" spans="5:7" ht="14.25" customHeight="1">
      <c r="E617" s="168"/>
      <c r="G617" s="168"/>
    </row>
    <row r="618" spans="5:7" ht="14.25" customHeight="1">
      <c r="E618" s="168"/>
      <c r="G618" s="168"/>
    </row>
    <row r="619" spans="5:7" ht="14.25" customHeight="1">
      <c r="E619" s="168"/>
      <c r="G619" s="168"/>
    </row>
    <row r="620" spans="5:7" ht="14.25" customHeight="1">
      <c r="E620" s="168"/>
      <c r="G620" s="168"/>
    </row>
    <row r="621" spans="5:7" ht="14.25" customHeight="1">
      <c r="E621" s="168"/>
      <c r="G621" s="168"/>
    </row>
    <row r="622" spans="5:7" ht="14.25" customHeight="1">
      <c r="E622" s="168"/>
      <c r="G622" s="168"/>
    </row>
    <row r="623" spans="5:7" ht="14.25" customHeight="1">
      <c r="E623" s="168"/>
      <c r="G623" s="168"/>
    </row>
    <row r="624" spans="5:7" ht="14.25" customHeight="1">
      <c r="E624" s="168"/>
      <c r="G624" s="168"/>
    </row>
    <row r="625" spans="5:7" ht="14.25" customHeight="1">
      <c r="E625" s="168"/>
      <c r="G625" s="168"/>
    </row>
    <row r="626" spans="5:7" ht="14.25" customHeight="1">
      <c r="E626" s="168"/>
      <c r="G626" s="168"/>
    </row>
    <row r="627" spans="5:7" ht="14.25" customHeight="1">
      <c r="E627" s="168"/>
      <c r="G627" s="168"/>
    </row>
    <row r="628" spans="5:7" ht="14.25" customHeight="1">
      <c r="E628" s="168"/>
      <c r="G628" s="168"/>
    </row>
    <row r="629" spans="5:7" ht="14.25" customHeight="1">
      <c r="E629" s="168"/>
      <c r="G629" s="168"/>
    </row>
    <row r="630" spans="5:7" ht="14.25" customHeight="1">
      <c r="E630" s="168"/>
      <c r="G630" s="168"/>
    </row>
    <row r="631" spans="5:7" ht="14.25" customHeight="1">
      <c r="E631" s="168"/>
      <c r="G631" s="168"/>
    </row>
    <row r="632" spans="5:7" ht="14.25" customHeight="1">
      <c r="E632" s="168"/>
      <c r="G632" s="168"/>
    </row>
    <row r="633" spans="5:7" ht="14.25" customHeight="1">
      <c r="E633" s="168"/>
      <c r="G633" s="168"/>
    </row>
    <row r="634" spans="5:7" ht="14.25" customHeight="1">
      <c r="E634" s="168"/>
      <c r="G634" s="168"/>
    </row>
    <row r="635" spans="5:7" ht="14.25" customHeight="1">
      <c r="E635" s="168"/>
      <c r="G635" s="168"/>
    </row>
    <row r="636" spans="5:7" ht="14.25" customHeight="1">
      <c r="E636" s="168"/>
      <c r="G636" s="168"/>
    </row>
    <row r="637" spans="5:7" ht="14.25" customHeight="1">
      <c r="E637" s="168"/>
      <c r="G637" s="168"/>
    </row>
    <row r="638" spans="5:7" ht="14.25" customHeight="1">
      <c r="E638" s="168"/>
      <c r="G638" s="168"/>
    </row>
    <row r="639" spans="5:7" ht="14.25" customHeight="1">
      <c r="E639" s="168"/>
      <c r="G639" s="168"/>
    </row>
    <row r="640" spans="5:7" ht="14.25" customHeight="1">
      <c r="E640" s="168"/>
      <c r="G640" s="168"/>
    </row>
    <row r="641" spans="5:7" ht="14.25" customHeight="1">
      <c r="E641" s="168"/>
      <c r="G641" s="168"/>
    </row>
    <row r="642" spans="5:7" ht="14.25" customHeight="1">
      <c r="E642" s="168"/>
      <c r="G642" s="168"/>
    </row>
    <row r="643" spans="5:7" ht="14.25" customHeight="1">
      <c r="E643" s="168"/>
      <c r="G643" s="168"/>
    </row>
    <row r="644" spans="5:7" ht="14.25" customHeight="1">
      <c r="E644" s="168"/>
      <c r="G644" s="168"/>
    </row>
    <row r="645" spans="5:7" ht="14.25" customHeight="1">
      <c r="E645" s="168"/>
      <c r="G645" s="168"/>
    </row>
    <row r="646" spans="5:7" ht="14.25" customHeight="1">
      <c r="E646" s="168"/>
      <c r="G646" s="168"/>
    </row>
    <row r="647" spans="5:7" ht="14.25" customHeight="1">
      <c r="E647" s="168"/>
      <c r="G647" s="168"/>
    </row>
    <row r="648" spans="5:7" ht="14.25" customHeight="1">
      <c r="E648" s="168"/>
      <c r="G648" s="168"/>
    </row>
    <row r="649" spans="5:7" ht="14.25" customHeight="1">
      <c r="E649" s="168"/>
      <c r="G649" s="168"/>
    </row>
    <row r="650" spans="5:7" ht="14.25" customHeight="1">
      <c r="E650" s="168"/>
      <c r="G650" s="168"/>
    </row>
    <row r="651" spans="5:7" ht="14.25" customHeight="1">
      <c r="E651" s="168"/>
      <c r="G651" s="168"/>
    </row>
    <row r="652" spans="5:7" ht="14.25" customHeight="1">
      <c r="E652" s="168"/>
      <c r="G652" s="168"/>
    </row>
    <row r="653" spans="5:7" ht="14.25" customHeight="1">
      <c r="E653" s="168"/>
      <c r="G653" s="168"/>
    </row>
    <row r="654" spans="5:7" ht="14.25" customHeight="1">
      <c r="E654" s="168"/>
      <c r="G654" s="168"/>
    </row>
    <row r="655" spans="5:7" ht="14.25" customHeight="1">
      <c r="E655" s="168"/>
      <c r="G655" s="168"/>
    </row>
    <row r="656" spans="5:7" ht="14.25" customHeight="1">
      <c r="E656" s="168"/>
      <c r="G656" s="168"/>
    </row>
    <row r="657" spans="5:7" ht="14.25" customHeight="1">
      <c r="E657" s="168"/>
      <c r="G657" s="168"/>
    </row>
    <row r="658" spans="5:7" ht="14.25" customHeight="1">
      <c r="E658" s="168"/>
      <c r="G658" s="168"/>
    </row>
    <row r="659" spans="5:7" ht="14.25" customHeight="1">
      <c r="E659" s="168"/>
      <c r="G659" s="168"/>
    </row>
    <row r="660" spans="5:7" ht="14.25" customHeight="1">
      <c r="E660" s="168"/>
      <c r="G660" s="168"/>
    </row>
    <row r="661" spans="5:7" ht="14.25" customHeight="1">
      <c r="E661" s="168"/>
      <c r="G661" s="168"/>
    </row>
    <row r="662" spans="5:7" ht="14.25" customHeight="1">
      <c r="E662" s="168"/>
      <c r="G662" s="168"/>
    </row>
    <row r="663" spans="5:7" ht="14.25" customHeight="1">
      <c r="E663" s="168"/>
      <c r="G663" s="168"/>
    </row>
    <row r="664" spans="5:7" ht="14.25" customHeight="1">
      <c r="E664" s="168"/>
      <c r="G664" s="168"/>
    </row>
    <row r="665" spans="5:7" ht="14.25" customHeight="1">
      <c r="E665" s="168"/>
      <c r="G665" s="168"/>
    </row>
    <row r="666" spans="5:7" ht="14.25" customHeight="1">
      <c r="E666" s="168"/>
      <c r="G666" s="168"/>
    </row>
    <row r="667" spans="5:7" ht="14.25" customHeight="1">
      <c r="E667" s="168"/>
      <c r="G667" s="168"/>
    </row>
    <row r="668" spans="5:7" ht="14.25" customHeight="1">
      <c r="E668" s="168"/>
      <c r="G668" s="168"/>
    </row>
    <row r="669" spans="5:7" ht="14.25" customHeight="1">
      <c r="E669" s="168"/>
      <c r="G669" s="168"/>
    </row>
    <row r="670" spans="5:7" ht="14.25" customHeight="1">
      <c r="E670" s="168"/>
      <c r="G670" s="168"/>
    </row>
    <row r="671" spans="5:7" ht="14.25" customHeight="1">
      <c r="E671" s="168"/>
      <c r="G671" s="168"/>
    </row>
    <row r="672" spans="5:7" ht="14.25" customHeight="1">
      <c r="E672" s="168"/>
      <c r="G672" s="168"/>
    </row>
    <row r="673" spans="5:7" ht="14.25" customHeight="1">
      <c r="E673" s="168"/>
      <c r="G673" s="168"/>
    </row>
    <row r="674" spans="5:7" ht="14.25" customHeight="1">
      <c r="E674" s="168"/>
      <c r="G674" s="168"/>
    </row>
    <row r="675" spans="5:7" ht="14.25" customHeight="1">
      <c r="E675" s="168"/>
      <c r="G675" s="168"/>
    </row>
    <row r="676" spans="5:7" ht="14.25" customHeight="1">
      <c r="E676" s="168"/>
      <c r="G676" s="168"/>
    </row>
    <row r="677" spans="5:7" ht="14.25" customHeight="1">
      <c r="E677" s="168"/>
      <c r="G677" s="168"/>
    </row>
    <row r="678" spans="5:7" ht="14.25" customHeight="1">
      <c r="E678" s="168"/>
      <c r="G678" s="168"/>
    </row>
    <row r="679" spans="5:7" ht="14.25" customHeight="1">
      <c r="E679" s="168"/>
      <c r="G679" s="168"/>
    </row>
    <row r="680" spans="5:7" ht="14.25" customHeight="1">
      <c r="E680" s="168"/>
      <c r="G680" s="168"/>
    </row>
    <row r="681" spans="5:7" ht="14.25" customHeight="1">
      <c r="E681" s="168"/>
      <c r="G681" s="168"/>
    </row>
    <row r="682" spans="5:7" ht="14.25" customHeight="1">
      <c r="E682" s="168"/>
      <c r="G682" s="168"/>
    </row>
    <row r="683" spans="5:7" ht="14.25" customHeight="1">
      <c r="E683" s="168"/>
      <c r="G683" s="168"/>
    </row>
    <row r="684" spans="5:7" ht="14.25" customHeight="1">
      <c r="E684" s="168"/>
      <c r="G684" s="168"/>
    </row>
    <row r="685" spans="5:7" ht="14.25" customHeight="1">
      <c r="E685" s="168"/>
      <c r="G685" s="168"/>
    </row>
    <row r="686" spans="5:7" ht="14.25" customHeight="1">
      <c r="E686" s="168"/>
      <c r="G686" s="168"/>
    </row>
    <row r="687" spans="5:7" ht="14.25" customHeight="1">
      <c r="E687" s="168"/>
      <c r="G687" s="168"/>
    </row>
    <row r="688" spans="5:7" ht="14.25" customHeight="1">
      <c r="E688" s="168"/>
      <c r="G688" s="168"/>
    </row>
    <row r="689" spans="5:7" ht="14.25" customHeight="1">
      <c r="E689" s="168"/>
      <c r="G689" s="168"/>
    </row>
    <row r="690" spans="5:7" ht="14.25" customHeight="1">
      <c r="E690" s="168"/>
      <c r="G690" s="168"/>
    </row>
    <row r="691" spans="5:7" ht="14.25" customHeight="1">
      <c r="E691" s="168"/>
      <c r="G691" s="168"/>
    </row>
    <row r="692" spans="5:7" ht="14.25" customHeight="1">
      <c r="E692" s="168"/>
      <c r="G692" s="168"/>
    </row>
    <row r="693" spans="5:7" ht="14.25" customHeight="1">
      <c r="E693" s="168"/>
      <c r="G693" s="168"/>
    </row>
    <row r="694" spans="5:7" ht="14.25" customHeight="1">
      <c r="E694" s="168"/>
      <c r="G694" s="168"/>
    </row>
    <row r="695" spans="5:7" ht="14.25" customHeight="1">
      <c r="E695" s="168"/>
      <c r="G695" s="168"/>
    </row>
    <row r="696" spans="5:7" ht="14.25" customHeight="1">
      <c r="E696" s="168"/>
      <c r="G696" s="168"/>
    </row>
    <row r="697" spans="5:7" ht="14.25" customHeight="1">
      <c r="E697" s="168"/>
      <c r="G697" s="168"/>
    </row>
    <row r="698" spans="5:7" ht="14.25" customHeight="1">
      <c r="E698" s="168"/>
      <c r="G698" s="168"/>
    </row>
    <row r="699" spans="5:7" ht="14.25" customHeight="1">
      <c r="E699" s="168"/>
      <c r="G699" s="168"/>
    </row>
    <row r="700" spans="5:7" ht="14.25" customHeight="1">
      <c r="E700" s="168"/>
      <c r="G700" s="168"/>
    </row>
    <row r="701" spans="5:7" ht="14.25" customHeight="1">
      <c r="E701" s="168"/>
      <c r="G701" s="168"/>
    </row>
    <row r="702" spans="5:7" ht="14.25" customHeight="1">
      <c r="E702" s="168"/>
      <c r="G702" s="168"/>
    </row>
    <row r="703" spans="5:7" ht="14.25" customHeight="1">
      <c r="E703" s="168"/>
      <c r="G703" s="168"/>
    </row>
    <row r="704" spans="5:7" ht="14.25" customHeight="1">
      <c r="E704" s="168"/>
      <c r="G704" s="168"/>
    </row>
    <row r="705" spans="5:7" ht="14.25" customHeight="1">
      <c r="E705" s="168"/>
      <c r="G705" s="168"/>
    </row>
    <row r="706" spans="5:7" ht="14.25" customHeight="1">
      <c r="E706" s="168"/>
      <c r="G706" s="168"/>
    </row>
    <row r="707" spans="5:7" ht="14.25" customHeight="1">
      <c r="E707" s="168"/>
      <c r="G707" s="168"/>
    </row>
    <row r="708" spans="5:7" ht="14.25" customHeight="1">
      <c r="E708" s="168"/>
      <c r="G708" s="168"/>
    </row>
    <row r="709" spans="5:7" ht="14.25" customHeight="1">
      <c r="E709" s="168"/>
      <c r="G709" s="168"/>
    </row>
    <row r="710" spans="5:7" ht="14.25" customHeight="1">
      <c r="E710" s="168"/>
      <c r="G710" s="168"/>
    </row>
    <row r="711" spans="5:7" ht="14.25" customHeight="1">
      <c r="E711" s="168"/>
      <c r="G711" s="168"/>
    </row>
    <row r="712" spans="5:7" ht="14.25" customHeight="1">
      <c r="E712" s="168"/>
      <c r="G712" s="168"/>
    </row>
    <row r="713" spans="5:7" ht="14.25" customHeight="1">
      <c r="E713" s="168"/>
      <c r="G713" s="168"/>
    </row>
    <row r="714" spans="5:7" ht="14.25" customHeight="1">
      <c r="E714" s="168"/>
      <c r="G714" s="168"/>
    </row>
    <row r="715" spans="5:7" ht="14.25" customHeight="1">
      <c r="E715" s="168"/>
      <c r="G715" s="168"/>
    </row>
    <row r="716" spans="5:7" ht="14.25" customHeight="1">
      <c r="E716" s="168"/>
      <c r="G716" s="168"/>
    </row>
    <row r="717" spans="5:7" ht="14.25" customHeight="1">
      <c r="E717" s="168"/>
      <c r="G717" s="168"/>
    </row>
    <row r="718" spans="5:7" ht="14.25" customHeight="1">
      <c r="E718" s="168"/>
      <c r="G718" s="168"/>
    </row>
    <row r="719" spans="5:7" ht="14.25" customHeight="1">
      <c r="E719" s="168"/>
      <c r="G719" s="168"/>
    </row>
    <row r="720" spans="5:7" ht="14.25" customHeight="1">
      <c r="E720" s="168"/>
      <c r="G720" s="168"/>
    </row>
    <row r="721" spans="5:7" ht="14.25" customHeight="1">
      <c r="E721" s="168"/>
      <c r="G721" s="168"/>
    </row>
    <row r="722" spans="5:7" ht="14.25" customHeight="1">
      <c r="E722" s="168"/>
      <c r="G722" s="168"/>
    </row>
    <row r="723" spans="5:7" ht="14.25" customHeight="1">
      <c r="E723" s="168"/>
      <c r="G723" s="168"/>
    </row>
    <row r="724" spans="5:7" ht="14.25" customHeight="1">
      <c r="E724" s="168"/>
      <c r="G724" s="168"/>
    </row>
    <row r="725" spans="5:7" ht="14.25" customHeight="1">
      <c r="E725" s="168"/>
      <c r="G725" s="168"/>
    </row>
    <row r="726" spans="5:7" ht="14.25" customHeight="1">
      <c r="E726" s="168"/>
      <c r="G726" s="168"/>
    </row>
    <row r="727" spans="5:7" ht="14.25" customHeight="1">
      <c r="E727" s="168"/>
      <c r="G727" s="168"/>
    </row>
    <row r="728" spans="5:7" ht="14.25" customHeight="1">
      <c r="E728" s="168"/>
      <c r="G728" s="168"/>
    </row>
    <row r="729" spans="5:7" ht="14.25" customHeight="1">
      <c r="E729" s="168"/>
      <c r="G729" s="168"/>
    </row>
    <row r="730" spans="5:7" ht="14.25" customHeight="1">
      <c r="E730" s="168"/>
      <c r="G730" s="168"/>
    </row>
    <row r="731" spans="5:7" ht="14.25" customHeight="1">
      <c r="E731" s="168"/>
      <c r="G731" s="168"/>
    </row>
    <row r="732" spans="5:7" ht="14.25" customHeight="1">
      <c r="E732" s="168"/>
      <c r="G732" s="168"/>
    </row>
    <row r="733" spans="5:7" ht="14.25" customHeight="1">
      <c r="E733" s="168"/>
      <c r="G733" s="168"/>
    </row>
    <row r="734" spans="5:7" ht="14.25" customHeight="1">
      <c r="E734" s="168"/>
      <c r="G734" s="168"/>
    </row>
    <row r="735" spans="5:7" ht="14.25" customHeight="1">
      <c r="E735" s="168"/>
      <c r="G735" s="168"/>
    </row>
    <row r="736" spans="5:7" ht="14.25" customHeight="1">
      <c r="E736" s="168"/>
      <c r="G736" s="168"/>
    </row>
    <row r="737" spans="5:7" ht="14.25" customHeight="1">
      <c r="E737" s="168"/>
      <c r="G737" s="168"/>
    </row>
    <row r="738" spans="5:7" ht="14.25" customHeight="1">
      <c r="E738" s="168"/>
      <c r="G738" s="168"/>
    </row>
    <row r="739" spans="5:7" ht="14.25" customHeight="1">
      <c r="E739" s="168"/>
      <c r="G739" s="168"/>
    </row>
    <row r="740" spans="5:7" ht="14.25" customHeight="1">
      <c r="E740" s="168"/>
      <c r="G740" s="168"/>
    </row>
    <row r="741" spans="5:7" ht="14.25" customHeight="1">
      <c r="E741" s="168"/>
      <c r="G741" s="168"/>
    </row>
    <row r="742" spans="5:7" ht="14.25" customHeight="1">
      <c r="E742" s="168"/>
      <c r="G742" s="168"/>
    </row>
    <row r="743" spans="5:7" ht="14.25" customHeight="1">
      <c r="E743" s="168"/>
      <c r="G743" s="168"/>
    </row>
    <row r="744" spans="5:7" ht="14.25" customHeight="1">
      <c r="E744" s="168"/>
      <c r="G744" s="168"/>
    </row>
    <row r="745" spans="5:7" ht="14.25" customHeight="1">
      <c r="E745" s="168"/>
      <c r="G745" s="168"/>
    </row>
    <row r="746" spans="5:7" ht="14.25" customHeight="1">
      <c r="E746" s="168"/>
      <c r="G746" s="168"/>
    </row>
    <row r="747" spans="5:7" ht="14.25" customHeight="1">
      <c r="E747" s="168"/>
      <c r="G747" s="168"/>
    </row>
    <row r="748" spans="5:7" ht="14.25" customHeight="1">
      <c r="E748" s="168"/>
      <c r="G748" s="168"/>
    </row>
    <row r="749" spans="5:7" ht="14.25" customHeight="1">
      <c r="E749" s="168"/>
      <c r="G749" s="168"/>
    </row>
    <row r="750" spans="5:7" ht="14.25" customHeight="1">
      <c r="E750" s="168"/>
      <c r="G750" s="168"/>
    </row>
    <row r="751" spans="5:7" ht="14.25" customHeight="1">
      <c r="E751" s="168"/>
      <c r="G751" s="168"/>
    </row>
    <row r="752" spans="5:7" ht="14.25" customHeight="1">
      <c r="E752" s="168"/>
      <c r="G752" s="168"/>
    </row>
    <row r="753" spans="5:7" ht="14.25" customHeight="1">
      <c r="E753" s="168"/>
      <c r="G753" s="168"/>
    </row>
    <row r="754" spans="5:7" ht="14.25" customHeight="1">
      <c r="E754" s="168"/>
      <c r="G754" s="168"/>
    </row>
    <row r="755" spans="5:7" ht="14.25" customHeight="1">
      <c r="E755" s="168"/>
      <c r="G755" s="168"/>
    </row>
    <row r="756" spans="5:7" ht="14.25" customHeight="1">
      <c r="E756" s="168"/>
      <c r="G756" s="168"/>
    </row>
    <row r="757" spans="5:7" ht="14.25" customHeight="1">
      <c r="E757" s="168"/>
      <c r="G757" s="168"/>
    </row>
    <row r="758" spans="5:7" ht="14.25" customHeight="1">
      <c r="E758" s="168"/>
      <c r="G758" s="168"/>
    </row>
    <row r="759" spans="5:7" ht="14.25" customHeight="1">
      <c r="E759" s="168"/>
      <c r="G759" s="168"/>
    </row>
    <row r="760" spans="5:7" ht="14.25" customHeight="1">
      <c r="E760" s="168"/>
      <c r="G760" s="168"/>
    </row>
    <row r="761" spans="5:7" ht="14.25" customHeight="1">
      <c r="E761" s="168"/>
      <c r="G761" s="168"/>
    </row>
    <row r="762" spans="5:7" ht="14.25" customHeight="1">
      <c r="E762" s="168"/>
      <c r="G762" s="168"/>
    </row>
    <row r="763" spans="5:7" ht="14.25" customHeight="1">
      <c r="E763" s="168"/>
      <c r="G763" s="168"/>
    </row>
    <row r="764" spans="5:7" ht="14.25" customHeight="1">
      <c r="E764" s="168"/>
      <c r="G764" s="168"/>
    </row>
    <row r="765" spans="5:7" ht="14.25" customHeight="1">
      <c r="E765" s="168"/>
      <c r="G765" s="168"/>
    </row>
    <row r="766" spans="5:7" ht="14.25" customHeight="1">
      <c r="E766" s="168"/>
      <c r="G766" s="168"/>
    </row>
    <row r="767" spans="5:7" ht="14.25" customHeight="1">
      <c r="E767" s="168"/>
      <c r="G767" s="168"/>
    </row>
    <row r="768" spans="5:7" ht="14.25" customHeight="1">
      <c r="E768" s="168"/>
      <c r="G768" s="168"/>
    </row>
    <row r="769" spans="5:7" ht="14.25" customHeight="1">
      <c r="E769" s="168"/>
      <c r="G769" s="168"/>
    </row>
    <row r="770" spans="5:7" ht="14.25" customHeight="1">
      <c r="E770" s="168"/>
      <c r="G770" s="168"/>
    </row>
    <row r="771" spans="5:7" ht="14.25" customHeight="1">
      <c r="E771" s="168"/>
      <c r="G771" s="168"/>
    </row>
    <row r="772" spans="5:7" ht="14.25" customHeight="1">
      <c r="E772" s="168"/>
      <c r="G772" s="168"/>
    </row>
    <row r="773" spans="5:7" ht="14.25" customHeight="1">
      <c r="E773" s="168"/>
      <c r="G773" s="168"/>
    </row>
    <row r="774" spans="5:7" ht="14.25" customHeight="1">
      <c r="E774" s="168"/>
      <c r="G774" s="168"/>
    </row>
    <row r="775" spans="5:7" ht="14.25" customHeight="1">
      <c r="E775" s="168"/>
      <c r="G775" s="168"/>
    </row>
    <row r="776" spans="5:7" ht="14.25" customHeight="1">
      <c r="E776" s="168"/>
      <c r="G776" s="168"/>
    </row>
    <row r="777" spans="5:7" ht="14.25" customHeight="1">
      <c r="E777" s="168"/>
      <c r="G777" s="168"/>
    </row>
    <row r="778" spans="5:7" ht="14.25" customHeight="1">
      <c r="E778" s="168"/>
      <c r="G778" s="168"/>
    </row>
    <row r="779" spans="5:7" ht="14.25" customHeight="1">
      <c r="E779" s="168"/>
      <c r="G779" s="168"/>
    </row>
    <row r="780" spans="5:7" ht="14.25" customHeight="1">
      <c r="E780" s="168"/>
      <c r="G780" s="168"/>
    </row>
    <row r="781" spans="5:7" ht="14.25" customHeight="1">
      <c r="E781" s="168"/>
      <c r="G781" s="168"/>
    </row>
    <row r="782" spans="5:7" ht="14.25" customHeight="1">
      <c r="E782" s="168"/>
      <c r="G782" s="168"/>
    </row>
    <row r="783" spans="5:7" ht="14.25" customHeight="1">
      <c r="E783" s="168"/>
      <c r="G783" s="168"/>
    </row>
    <row r="784" spans="5:7" ht="14.25" customHeight="1">
      <c r="E784" s="168"/>
      <c r="G784" s="168"/>
    </row>
    <row r="785" spans="5:7" ht="14.25" customHeight="1">
      <c r="E785" s="168"/>
      <c r="G785" s="168"/>
    </row>
    <row r="786" spans="5:7" ht="14.25" customHeight="1">
      <c r="E786" s="168"/>
      <c r="G786" s="168"/>
    </row>
    <row r="787" spans="5:7" ht="14.25" customHeight="1">
      <c r="E787" s="168"/>
      <c r="G787" s="168"/>
    </row>
    <row r="788" spans="5:7" ht="14.25" customHeight="1">
      <c r="E788" s="168"/>
      <c r="G788" s="168"/>
    </row>
    <row r="789" spans="5:7" ht="14.25" customHeight="1">
      <c r="E789" s="168"/>
      <c r="G789" s="168"/>
    </row>
    <row r="790" spans="5:7" ht="14.25" customHeight="1">
      <c r="E790" s="168"/>
      <c r="G790" s="168"/>
    </row>
    <row r="791" spans="5:7" ht="14.25" customHeight="1">
      <c r="E791" s="168"/>
      <c r="G791" s="168"/>
    </row>
    <row r="792" spans="5:7" ht="14.25" customHeight="1">
      <c r="E792" s="168"/>
      <c r="G792" s="168"/>
    </row>
    <row r="793" spans="5:7" ht="14.25" customHeight="1">
      <c r="E793" s="168"/>
      <c r="G793" s="168"/>
    </row>
    <row r="794" spans="5:7" ht="14.25" customHeight="1">
      <c r="E794" s="168"/>
      <c r="G794" s="168"/>
    </row>
    <row r="795" spans="5:7" ht="14.25" customHeight="1">
      <c r="E795" s="168"/>
      <c r="G795" s="168"/>
    </row>
    <row r="796" spans="5:7" ht="14.25" customHeight="1">
      <c r="E796" s="168"/>
      <c r="G796" s="168"/>
    </row>
    <row r="797" spans="5:7" ht="14.25" customHeight="1">
      <c r="E797" s="168"/>
      <c r="G797" s="168"/>
    </row>
    <row r="798" spans="5:7" ht="14.25" customHeight="1">
      <c r="E798" s="168"/>
      <c r="G798" s="168"/>
    </row>
    <row r="799" spans="5:7" ht="14.25" customHeight="1">
      <c r="E799" s="168"/>
      <c r="G799" s="168"/>
    </row>
    <row r="800" spans="5:7" ht="14.25" customHeight="1">
      <c r="E800" s="168"/>
      <c r="G800" s="168"/>
    </row>
    <row r="801" spans="5:7" ht="14.25" customHeight="1">
      <c r="E801" s="168"/>
      <c r="G801" s="168"/>
    </row>
    <row r="802" spans="5:7" ht="14.25" customHeight="1">
      <c r="E802" s="168"/>
      <c r="G802" s="168"/>
    </row>
    <row r="803" spans="5:7" ht="14.25" customHeight="1">
      <c r="E803" s="168"/>
      <c r="G803" s="168"/>
    </row>
    <row r="804" spans="5:7" ht="14.25" customHeight="1">
      <c r="E804" s="168"/>
      <c r="G804" s="168"/>
    </row>
    <row r="805" spans="5:7" ht="14.25" customHeight="1">
      <c r="E805" s="168"/>
      <c r="G805" s="168"/>
    </row>
    <row r="806" spans="5:7" ht="14.25" customHeight="1">
      <c r="E806" s="168"/>
      <c r="G806" s="168"/>
    </row>
    <row r="807" spans="5:7" ht="14.25" customHeight="1">
      <c r="E807" s="168"/>
      <c r="G807" s="168"/>
    </row>
    <row r="808" spans="5:7" ht="14.25" customHeight="1">
      <c r="E808" s="168"/>
      <c r="G808" s="168"/>
    </row>
    <row r="809" spans="5:7" ht="14.25" customHeight="1">
      <c r="E809" s="168"/>
      <c r="G809" s="168"/>
    </row>
    <row r="810" spans="5:7" ht="14.25" customHeight="1">
      <c r="E810" s="168"/>
      <c r="G810" s="168"/>
    </row>
    <row r="811" spans="5:7" ht="14.25" customHeight="1">
      <c r="E811" s="168"/>
      <c r="G811" s="168"/>
    </row>
    <row r="812" spans="5:7" ht="14.25" customHeight="1">
      <c r="E812" s="168"/>
      <c r="G812" s="168"/>
    </row>
    <row r="813" spans="5:7" ht="14.25" customHeight="1">
      <c r="E813" s="168"/>
      <c r="G813" s="168"/>
    </row>
    <row r="814" spans="5:7" ht="14.25" customHeight="1">
      <c r="E814" s="168"/>
      <c r="G814" s="168"/>
    </row>
    <row r="815" spans="5:7" ht="14.25" customHeight="1">
      <c r="E815" s="168"/>
      <c r="G815" s="168"/>
    </row>
    <row r="816" spans="5:7" ht="14.25" customHeight="1">
      <c r="E816" s="168"/>
      <c r="G816" s="168"/>
    </row>
    <row r="817" spans="5:7" ht="14.25" customHeight="1">
      <c r="E817" s="168"/>
      <c r="G817" s="168"/>
    </row>
    <row r="818" spans="5:7" ht="14.25" customHeight="1">
      <c r="E818" s="168"/>
      <c r="G818" s="168"/>
    </row>
    <row r="819" spans="5:7" ht="14.25" customHeight="1">
      <c r="E819" s="168"/>
      <c r="G819" s="168"/>
    </row>
    <row r="820" spans="5:7" ht="14.25" customHeight="1">
      <c r="E820" s="168"/>
      <c r="G820" s="168"/>
    </row>
    <row r="821" spans="5:7" ht="14.25" customHeight="1">
      <c r="E821" s="168"/>
      <c r="G821" s="168"/>
    </row>
    <row r="822" spans="5:7" ht="14.25" customHeight="1">
      <c r="E822" s="168"/>
      <c r="G822" s="168"/>
    </row>
    <row r="823" spans="5:7" ht="14.25" customHeight="1">
      <c r="E823" s="168"/>
      <c r="G823" s="168"/>
    </row>
    <row r="824" spans="5:7" ht="14.25" customHeight="1">
      <c r="E824" s="168"/>
      <c r="G824" s="168"/>
    </row>
    <row r="825" spans="5:7" ht="14.25" customHeight="1">
      <c r="E825" s="168"/>
      <c r="G825" s="168"/>
    </row>
    <row r="826" spans="5:7" ht="14.25" customHeight="1">
      <c r="E826" s="168"/>
      <c r="G826" s="168"/>
    </row>
    <row r="827" spans="5:7" ht="14.25" customHeight="1">
      <c r="E827" s="168"/>
      <c r="G827" s="168"/>
    </row>
    <row r="828" spans="5:7" ht="14.25" customHeight="1">
      <c r="E828" s="168"/>
      <c r="G828" s="168"/>
    </row>
    <row r="829" spans="5:7" ht="14.25" customHeight="1">
      <c r="E829" s="168"/>
      <c r="G829" s="168"/>
    </row>
    <row r="830" spans="5:7" ht="14.25" customHeight="1">
      <c r="E830" s="168"/>
      <c r="G830" s="168"/>
    </row>
    <row r="831" spans="5:7" ht="14.25" customHeight="1">
      <c r="E831" s="168"/>
      <c r="G831" s="168"/>
    </row>
    <row r="832" spans="5:7" ht="14.25" customHeight="1">
      <c r="E832" s="168"/>
      <c r="G832" s="168"/>
    </row>
    <row r="833" spans="5:7" ht="14.25" customHeight="1">
      <c r="E833" s="168"/>
      <c r="G833" s="168"/>
    </row>
    <row r="834" spans="5:7" ht="14.25" customHeight="1">
      <c r="E834" s="168"/>
      <c r="G834" s="168"/>
    </row>
    <row r="835" spans="5:7" ht="14.25" customHeight="1">
      <c r="E835" s="168"/>
      <c r="G835" s="168"/>
    </row>
    <row r="836" spans="5:7" ht="14.25" customHeight="1">
      <c r="E836" s="168"/>
      <c r="G836" s="168"/>
    </row>
    <row r="837" spans="5:7" ht="14.25" customHeight="1">
      <c r="E837" s="168"/>
      <c r="G837" s="168"/>
    </row>
    <row r="838" spans="5:7" ht="14.25" customHeight="1">
      <c r="E838" s="168"/>
      <c r="G838" s="168"/>
    </row>
    <row r="839" spans="5:7" ht="14.25" customHeight="1">
      <c r="E839" s="168"/>
      <c r="G839" s="168"/>
    </row>
    <row r="840" spans="5:7" ht="14.25" customHeight="1">
      <c r="E840" s="168"/>
      <c r="G840" s="168"/>
    </row>
    <row r="841" spans="5:7" ht="14.25" customHeight="1">
      <c r="E841" s="168"/>
      <c r="G841" s="168"/>
    </row>
    <row r="842" spans="5:7" ht="14.25" customHeight="1">
      <c r="E842" s="168"/>
      <c r="G842" s="168"/>
    </row>
    <row r="843" spans="5:7" ht="14.25" customHeight="1">
      <c r="E843" s="168"/>
      <c r="G843" s="168"/>
    </row>
    <row r="844" spans="5:7" ht="14.25" customHeight="1">
      <c r="E844" s="168"/>
      <c r="G844" s="168"/>
    </row>
    <row r="845" spans="5:7" ht="14.25" customHeight="1">
      <c r="E845" s="168"/>
      <c r="G845" s="168"/>
    </row>
    <row r="846" spans="5:7" ht="14.25" customHeight="1">
      <c r="E846" s="168"/>
      <c r="G846" s="168"/>
    </row>
    <row r="847" spans="5:7" ht="14.25" customHeight="1">
      <c r="E847" s="168"/>
      <c r="G847" s="168"/>
    </row>
    <row r="848" spans="5:7" ht="14.25" customHeight="1">
      <c r="E848" s="168"/>
      <c r="G848" s="168"/>
    </row>
    <row r="849" spans="5:7" ht="14.25" customHeight="1">
      <c r="E849" s="168"/>
      <c r="G849" s="168"/>
    </row>
    <row r="850" spans="5:7" ht="14.25" customHeight="1">
      <c r="E850" s="168"/>
      <c r="G850" s="168"/>
    </row>
    <row r="851" spans="5:7" ht="14.25" customHeight="1">
      <c r="E851" s="168"/>
      <c r="G851" s="168"/>
    </row>
    <row r="852" spans="5:7" ht="14.25" customHeight="1">
      <c r="E852" s="168"/>
      <c r="G852" s="168"/>
    </row>
    <row r="853" spans="5:7" ht="14.25" customHeight="1">
      <c r="E853" s="168"/>
      <c r="G853" s="168"/>
    </row>
    <row r="854" spans="5:7" ht="14.25" customHeight="1">
      <c r="E854" s="168"/>
      <c r="G854" s="168"/>
    </row>
    <row r="855" spans="5:7" ht="14.25" customHeight="1">
      <c r="E855" s="168"/>
      <c r="G855" s="168"/>
    </row>
    <row r="856" spans="5:7" ht="14.25" customHeight="1">
      <c r="E856" s="168"/>
      <c r="G856" s="168"/>
    </row>
    <row r="857" spans="5:7" ht="14.25" customHeight="1">
      <c r="E857" s="168"/>
      <c r="G857" s="168"/>
    </row>
    <row r="858" spans="5:7" ht="14.25" customHeight="1">
      <c r="E858" s="168"/>
      <c r="G858" s="168"/>
    </row>
    <row r="859" spans="5:7" ht="14.25" customHeight="1">
      <c r="E859" s="168"/>
      <c r="G859" s="168"/>
    </row>
    <row r="860" spans="5:7" ht="14.25" customHeight="1">
      <c r="E860" s="168"/>
      <c r="G860" s="168"/>
    </row>
    <row r="861" spans="5:7" ht="14.25" customHeight="1">
      <c r="E861" s="168"/>
      <c r="G861" s="168"/>
    </row>
    <row r="862" spans="5:7" ht="14.25" customHeight="1">
      <c r="E862" s="168"/>
      <c r="G862" s="168"/>
    </row>
    <row r="863" spans="5:7" ht="14.25" customHeight="1">
      <c r="E863" s="168"/>
      <c r="G863" s="168"/>
    </row>
    <row r="864" spans="5:7" ht="14.25" customHeight="1">
      <c r="E864" s="168"/>
      <c r="G864" s="168"/>
    </row>
    <row r="865" spans="5:7" ht="14.25" customHeight="1">
      <c r="E865" s="168"/>
      <c r="G865" s="168"/>
    </row>
    <row r="866" spans="5:7" ht="14.25" customHeight="1">
      <c r="E866" s="168"/>
      <c r="G866" s="168"/>
    </row>
    <row r="867" spans="5:7" ht="14.25" customHeight="1">
      <c r="E867" s="168"/>
      <c r="G867" s="168"/>
    </row>
    <row r="868" spans="5:7" ht="14.25" customHeight="1">
      <c r="E868" s="168"/>
      <c r="G868" s="168"/>
    </row>
    <row r="869" spans="5:7" ht="14.25" customHeight="1">
      <c r="E869" s="168"/>
      <c r="G869" s="168"/>
    </row>
    <row r="870" spans="5:7" ht="14.25" customHeight="1">
      <c r="E870" s="168"/>
      <c r="G870" s="168"/>
    </row>
    <row r="871" spans="5:7" ht="14.25" customHeight="1">
      <c r="E871" s="168"/>
      <c r="G871" s="168"/>
    </row>
    <row r="872" spans="5:7" ht="14.25" customHeight="1">
      <c r="E872" s="168"/>
      <c r="G872" s="168"/>
    </row>
    <row r="873" spans="5:7" ht="14.25" customHeight="1">
      <c r="E873" s="168"/>
      <c r="G873" s="168"/>
    </row>
    <row r="874" spans="5:7" ht="14.25" customHeight="1">
      <c r="E874" s="168"/>
      <c r="G874" s="168"/>
    </row>
    <row r="875" spans="5:7" ht="14.25" customHeight="1">
      <c r="E875" s="168"/>
      <c r="G875" s="168"/>
    </row>
    <row r="876" spans="5:7" ht="14.25" customHeight="1">
      <c r="E876" s="168"/>
      <c r="G876" s="168"/>
    </row>
    <row r="877" spans="5:7" ht="14.25" customHeight="1">
      <c r="E877" s="168"/>
      <c r="G877" s="168"/>
    </row>
    <row r="878" spans="5:7" ht="14.25" customHeight="1">
      <c r="E878" s="168"/>
      <c r="G878" s="168"/>
    </row>
    <row r="879" spans="5:7" ht="14.25" customHeight="1">
      <c r="E879" s="168"/>
      <c r="G879" s="168"/>
    </row>
    <row r="880" spans="5:7" ht="14.25" customHeight="1">
      <c r="E880" s="168"/>
      <c r="G880" s="168"/>
    </row>
    <row r="881" spans="5:7" ht="14.25" customHeight="1">
      <c r="E881" s="168"/>
      <c r="G881" s="168"/>
    </row>
    <row r="882" spans="5:7" ht="14.25" customHeight="1">
      <c r="E882" s="168"/>
      <c r="G882" s="168"/>
    </row>
    <row r="883" spans="5:7" ht="14.25" customHeight="1">
      <c r="E883" s="168"/>
      <c r="G883" s="168"/>
    </row>
    <row r="884" spans="5:7" ht="14.25" customHeight="1">
      <c r="E884" s="168"/>
      <c r="G884" s="168"/>
    </row>
    <row r="885" spans="5:7" ht="14.25" customHeight="1">
      <c r="E885" s="168"/>
      <c r="G885" s="168"/>
    </row>
    <row r="886" spans="5:7" ht="14.25" customHeight="1">
      <c r="E886" s="168"/>
      <c r="G886" s="168"/>
    </row>
    <row r="887" spans="5:7" ht="14.25" customHeight="1">
      <c r="E887" s="168"/>
      <c r="G887" s="168"/>
    </row>
    <row r="888" spans="5:7" ht="14.25" customHeight="1">
      <c r="E888" s="168"/>
      <c r="G888" s="168"/>
    </row>
    <row r="889" spans="5:7" ht="14.25" customHeight="1">
      <c r="E889" s="168"/>
      <c r="G889" s="168"/>
    </row>
    <row r="890" spans="5:7" ht="14.25" customHeight="1">
      <c r="E890" s="168"/>
      <c r="G890" s="168"/>
    </row>
    <row r="891" spans="5:7" ht="14.25" customHeight="1">
      <c r="E891" s="168"/>
      <c r="G891" s="168"/>
    </row>
    <row r="892" spans="5:7" ht="14.25" customHeight="1">
      <c r="E892" s="168"/>
      <c r="G892" s="168"/>
    </row>
    <row r="893" spans="5:7" ht="14.25" customHeight="1">
      <c r="E893" s="168"/>
      <c r="G893" s="168"/>
    </row>
    <row r="894" spans="5:7" ht="14.25" customHeight="1">
      <c r="E894" s="168"/>
      <c r="G894" s="168"/>
    </row>
    <row r="895" spans="5:7" ht="14.25" customHeight="1">
      <c r="E895" s="168"/>
      <c r="G895" s="168"/>
    </row>
    <row r="896" spans="5:7" ht="14.25" customHeight="1">
      <c r="E896" s="168"/>
      <c r="G896" s="168"/>
    </row>
    <row r="897" spans="5:7" ht="14.25" customHeight="1">
      <c r="E897" s="168"/>
      <c r="G897" s="168"/>
    </row>
    <row r="898" spans="5:7" ht="14.25" customHeight="1">
      <c r="E898" s="168"/>
      <c r="G898" s="168"/>
    </row>
    <row r="899" spans="5:7" ht="14.25" customHeight="1">
      <c r="E899" s="168"/>
      <c r="G899" s="168"/>
    </row>
    <row r="900" spans="5:7" ht="14.25" customHeight="1">
      <c r="E900" s="168"/>
      <c r="G900" s="168"/>
    </row>
    <row r="901" spans="5:7" ht="14.25" customHeight="1">
      <c r="E901" s="168"/>
      <c r="G901" s="168"/>
    </row>
    <row r="902" spans="5:7" ht="14.25" customHeight="1">
      <c r="E902" s="168"/>
      <c r="G902" s="168"/>
    </row>
    <row r="903" spans="5:7" ht="14.25" customHeight="1">
      <c r="E903" s="168"/>
      <c r="G903" s="168"/>
    </row>
    <row r="904" spans="5:7" ht="14.25" customHeight="1">
      <c r="E904" s="168"/>
      <c r="G904" s="168"/>
    </row>
    <row r="905" spans="5:7" ht="14.25" customHeight="1">
      <c r="E905" s="168"/>
      <c r="G905" s="168"/>
    </row>
    <row r="906" spans="5:7" ht="14.25" customHeight="1">
      <c r="E906" s="168"/>
      <c r="G906" s="168"/>
    </row>
    <row r="907" spans="5:7" ht="14.25" customHeight="1">
      <c r="E907" s="168"/>
      <c r="G907" s="168"/>
    </row>
    <row r="908" spans="5:7" ht="14.25" customHeight="1">
      <c r="E908" s="168"/>
      <c r="G908" s="168"/>
    </row>
    <row r="909" spans="5:7" ht="14.25" customHeight="1">
      <c r="E909" s="168"/>
      <c r="G909" s="168"/>
    </row>
    <row r="910" spans="5:7" ht="14.25" customHeight="1">
      <c r="E910" s="168"/>
      <c r="G910" s="168"/>
    </row>
    <row r="911" spans="5:7" ht="14.25" customHeight="1">
      <c r="E911" s="168"/>
      <c r="G911" s="168"/>
    </row>
    <row r="912" spans="5:7" ht="14.25" customHeight="1">
      <c r="E912" s="168"/>
      <c r="G912" s="168"/>
    </row>
    <row r="913" spans="5:7" ht="14.25" customHeight="1">
      <c r="E913" s="168"/>
      <c r="G913" s="168"/>
    </row>
    <row r="914" spans="5:7" ht="14.25" customHeight="1">
      <c r="E914" s="168"/>
      <c r="G914" s="168"/>
    </row>
    <row r="915" spans="5:7" ht="14.25" customHeight="1">
      <c r="E915" s="168"/>
      <c r="G915" s="168"/>
    </row>
    <row r="916" spans="5:7" ht="14.25" customHeight="1">
      <c r="E916" s="168"/>
      <c r="G916" s="168"/>
    </row>
    <row r="917" spans="5:7" ht="14.25" customHeight="1">
      <c r="E917" s="168"/>
      <c r="G917" s="168"/>
    </row>
    <row r="918" spans="5:7" ht="14.25" customHeight="1">
      <c r="E918" s="168"/>
      <c r="G918" s="168"/>
    </row>
    <row r="919" spans="5:7" ht="14.25" customHeight="1">
      <c r="E919" s="168"/>
      <c r="G919" s="168"/>
    </row>
    <row r="920" spans="5:7" ht="14.25" customHeight="1">
      <c r="E920" s="168"/>
      <c r="G920" s="168"/>
    </row>
    <row r="921" spans="5:7" ht="14.25" customHeight="1">
      <c r="E921" s="168"/>
      <c r="G921" s="168"/>
    </row>
    <row r="922" spans="5:7" ht="14.25" customHeight="1">
      <c r="E922" s="168"/>
      <c r="G922" s="168"/>
    </row>
    <row r="923" spans="5:7" ht="14.25" customHeight="1">
      <c r="E923" s="168"/>
      <c r="G923" s="168"/>
    </row>
    <row r="924" spans="5:7" ht="14.25" customHeight="1">
      <c r="E924" s="168"/>
      <c r="G924" s="168"/>
    </row>
    <row r="925" spans="5:7" ht="14.25" customHeight="1">
      <c r="E925" s="168"/>
      <c r="G925" s="168"/>
    </row>
    <row r="926" spans="5:7" ht="14.25" customHeight="1">
      <c r="E926" s="168"/>
      <c r="G926" s="168"/>
    </row>
    <row r="927" spans="5:7" ht="14.25" customHeight="1">
      <c r="E927" s="168"/>
      <c r="G927" s="168"/>
    </row>
    <row r="928" spans="5:7" ht="14.25" customHeight="1">
      <c r="E928" s="168"/>
      <c r="G928" s="168"/>
    </row>
    <row r="929" spans="5:7" ht="14.25" customHeight="1">
      <c r="E929" s="168"/>
      <c r="G929" s="168"/>
    </row>
    <row r="930" spans="5:7" ht="14.25" customHeight="1">
      <c r="E930" s="168"/>
      <c r="G930" s="168"/>
    </row>
    <row r="931" spans="5:7" ht="14.25" customHeight="1">
      <c r="E931" s="168"/>
      <c r="G931" s="168"/>
    </row>
    <row r="932" spans="5:7" ht="14.25" customHeight="1">
      <c r="E932" s="168"/>
      <c r="G932" s="168"/>
    </row>
    <row r="933" spans="5:7" ht="14.25" customHeight="1">
      <c r="E933" s="168"/>
      <c r="G933" s="168"/>
    </row>
    <row r="934" spans="5:7" ht="14.25" customHeight="1">
      <c r="E934" s="168"/>
      <c r="G934" s="168"/>
    </row>
    <row r="935" spans="5:7" ht="14.25" customHeight="1">
      <c r="E935" s="168"/>
      <c r="G935" s="168"/>
    </row>
    <row r="936" spans="5:7" ht="14.25" customHeight="1">
      <c r="E936" s="168"/>
      <c r="G936" s="168"/>
    </row>
    <row r="937" spans="5:7" ht="14.25" customHeight="1">
      <c r="E937" s="168"/>
      <c r="G937" s="168"/>
    </row>
    <row r="938" spans="5:7" ht="14.25" customHeight="1">
      <c r="E938" s="168"/>
      <c r="G938" s="168"/>
    </row>
    <row r="939" spans="5:7" ht="14.25" customHeight="1">
      <c r="E939" s="168"/>
      <c r="G939" s="168"/>
    </row>
    <row r="940" spans="5:7" ht="14.25" customHeight="1">
      <c r="E940" s="168"/>
      <c r="G940" s="168"/>
    </row>
    <row r="941" spans="5:7" ht="14.25" customHeight="1">
      <c r="E941" s="168"/>
      <c r="G941" s="168"/>
    </row>
    <row r="942" spans="5:7" ht="14.25" customHeight="1">
      <c r="E942" s="168"/>
      <c r="G942" s="168"/>
    </row>
    <row r="943" spans="5:7" ht="14.25" customHeight="1">
      <c r="E943" s="168"/>
      <c r="G943" s="168"/>
    </row>
    <row r="944" spans="5:7" ht="14.25" customHeight="1">
      <c r="E944" s="168"/>
      <c r="G944" s="168"/>
    </row>
    <row r="945" spans="5:7" ht="14.25" customHeight="1">
      <c r="E945" s="168"/>
      <c r="G945" s="168"/>
    </row>
    <row r="946" spans="5:7" ht="14.25" customHeight="1">
      <c r="E946" s="168"/>
      <c r="G946" s="168"/>
    </row>
    <row r="947" spans="5:7" ht="14.25" customHeight="1">
      <c r="E947" s="168"/>
      <c r="G947" s="168"/>
    </row>
    <row r="948" spans="5:7" ht="14.25" customHeight="1">
      <c r="E948" s="168"/>
      <c r="G948" s="168"/>
    </row>
    <row r="949" spans="5:7" ht="14.25" customHeight="1">
      <c r="E949" s="168"/>
      <c r="G949" s="168"/>
    </row>
    <row r="950" spans="5:7" ht="14.25" customHeight="1">
      <c r="E950" s="168"/>
      <c r="G950" s="168"/>
    </row>
    <row r="951" spans="5:7" ht="14.25" customHeight="1">
      <c r="E951" s="168"/>
      <c r="G951" s="168"/>
    </row>
    <row r="952" spans="5:7" ht="14.25" customHeight="1">
      <c r="E952" s="168"/>
      <c r="G952" s="168"/>
    </row>
    <row r="953" spans="5:7" ht="14.25" customHeight="1">
      <c r="E953" s="168"/>
      <c r="G953" s="168"/>
    </row>
    <row r="954" spans="5:7" ht="14.25" customHeight="1">
      <c r="E954" s="168"/>
      <c r="G954" s="168"/>
    </row>
    <row r="955" spans="5:7" ht="14.25" customHeight="1">
      <c r="E955" s="168"/>
      <c r="G955" s="168"/>
    </row>
    <row r="956" spans="5:7" ht="14.25" customHeight="1">
      <c r="E956" s="168"/>
      <c r="G956" s="168"/>
    </row>
    <row r="957" spans="5:7" ht="14.25" customHeight="1">
      <c r="E957" s="168"/>
      <c r="G957" s="168"/>
    </row>
    <row r="958" spans="5:7" ht="14.25" customHeight="1">
      <c r="E958" s="168"/>
      <c r="G958" s="168"/>
    </row>
    <row r="959" spans="5:7" ht="14.25" customHeight="1">
      <c r="E959" s="168"/>
      <c r="G959" s="168"/>
    </row>
    <row r="960" spans="5:7" ht="14.25" customHeight="1">
      <c r="E960" s="168"/>
      <c r="G960" s="168"/>
    </row>
    <row r="961" spans="5:7" ht="14.25" customHeight="1">
      <c r="E961" s="168"/>
      <c r="G961" s="168"/>
    </row>
    <row r="962" spans="5:7" ht="14.25" customHeight="1">
      <c r="E962" s="168"/>
      <c r="G962" s="168"/>
    </row>
    <row r="963" spans="5:7" ht="14.25" customHeight="1">
      <c r="E963" s="168"/>
      <c r="G963" s="168"/>
    </row>
    <row r="964" spans="5:7" ht="14.25" customHeight="1">
      <c r="E964" s="168"/>
      <c r="G964" s="168"/>
    </row>
    <row r="965" spans="5:7" ht="14.25" customHeight="1">
      <c r="E965" s="168"/>
      <c r="G965" s="168"/>
    </row>
    <row r="966" spans="5:7" ht="14.25" customHeight="1">
      <c r="E966" s="168"/>
      <c r="G966" s="168"/>
    </row>
    <row r="967" spans="5:7" ht="14.25" customHeight="1">
      <c r="E967" s="168"/>
      <c r="G967" s="168"/>
    </row>
    <row r="968" spans="5:7" ht="14.25" customHeight="1">
      <c r="E968" s="168"/>
      <c r="G968" s="168"/>
    </row>
    <row r="969" spans="5:7" ht="14.25" customHeight="1">
      <c r="E969" s="168"/>
      <c r="G969" s="168"/>
    </row>
    <row r="970" spans="5:7" ht="14.25" customHeight="1">
      <c r="E970" s="168"/>
      <c r="G970" s="168"/>
    </row>
    <row r="971" spans="5:7" ht="15" customHeight="1"/>
    <row r="972" spans="5:7" ht="15" customHeight="1"/>
  </sheetData>
  <mergeCells count="22">
    <mergeCell ref="B1:G1"/>
    <mergeCell ref="B4:B5"/>
    <mergeCell ref="E4:E5"/>
    <mergeCell ref="G4:G5"/>
    <mergeCell ref="B10:B11"/>
    <mergeCell ref="E10:E11"/>
    <mergeCell ref="G10:G11"/>
    <mergeCell ref="B17:B18"/>
    <mergeCell ref="E17:E18"/>
    <mergeCell ref="G17:G18"/>
    <mergeCell ref="B24:B25"/>
    <mergeCell ref="E24:E25"/>
    <mergeCell ref="G24:G25"/>
    <mergeCell ref="B44:B45"/>
    <mergeCell ref="E44:E45"/>
    <mergeCell ref="G44:G45"/>
    <mergeCell ref="B32:B33"/>
    <mergeCell ref="E32:E33"/>
    <mergeCell ref="G32:G33"/>
    <mergeCell ref="B38:B39"/>
    <mergeCell ref="E38:E39"/>
    <mergeCell ref="G38:G3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0ED0-6EB6-4200-A383-CD83F5B7FF9B}">
  <dimension ref="A1:Q941"/>
  <sheetViews>
    <sheetView zoomScale="130" zoomScaleNormal="130" workbookViewId="0">
      <selection activeCell="C19" sqref="C19"/>
    </sheetView>
  </sheetViews>
  <sheetFormatPr defaultColWidth="12.5546875" defaultRowHeight="14.4"/>
  <cols>
    <col min="1" max="1" width="3.88671875" customWidth="1"/>
    <col min="2" max="2" width="32.109375" customWidth="1"/>
    <col min="3" max="3" width="39.44140625" customWidth="1"/>
    <col min="4" max="4" width="17.44140625" customWidth="1"/>
    <col min="5" max="5" width="12" customWidth="1"/>
    <col min="6" max="6" width="17.44140625" customWidth="1"/>
    <col min="7" max="7" width="12" customWidth="1"/>
    <col min="8" max="8" width="8.6640625" customWidth="1"/>
    <col min="9" max="9" width="10.88671875" customWidth="1"/>
    <col min="10" max="10" width="11.33203125" customWidth="1"/>
    <col min="11" max="11" width="10.44140625" customWidth="1"/>
    <col min="12" max="12" width="11.6640625" customWidth="1"/>
    <col min="13" max="17" width="8.6640625" customWidth="1"/>
    <col min="18" max="26" width="14.44140625" customWidth="1"/>
  </cols>
  <sheetData>
    <row r="1" spans="1:17" ht="19.8" customHeight="1">
      <c r="B1" s="245" t="s">
        <v>92</v>
      </c>
      <c r="C1" s="246"/>
      <c r="D1" s="246"/>
      <c r="E1" s="246"/>
      <c r="F1" s="246"/>
      <c r="G1" s="247"/>
    </row>
    <row r="2" spans="1:17" ht="14.25" customHeight="1">
      <c r="B2" s="170"/>
      <c r="C2" s="171"/>
      <c r="D2" s="171"/>
      <c r="E2" s="172"/>
      <c r="F2" s="171"/>
      <c r="G2" s="173"/>
    </row>
    <row r="3" spans="1:17" ht="16.8" customHeight="1">
      <c r="B3" s="231" t="s">
        <v>93</v>
      </c>
      <c r="C3" s="175"/>
      <c r="D3" s="175"/>
      <c r="E3" s="176">
        <v>45838</v>
      </c>
      <c r="F3" s="177"/>
      <c r="G3" s="178">
        <v>45747</v>
      </c>
    </row>
    <row r="4" spans="1:17" ht="14.25" customHeight="1">
      <c r="B4" s="235" t="s">
        <v>94</v>
      </c>
      <c r="C4" s="179" t="s">
        <v>6</v>
      </c>
      <c r="D4" s="204">
        <v>61408.74</v>
      </c>
      <c r="E4" s="237">
        <v>4.03</v>
      </c>
      <c r="F4" s="204">
        <v>70194.37</v>
      </c>
      <c r="G4" s="248">
        <v>3.01</v>
      </c>
      <c r="I4" s="41"/>
      <c r="K4" s="41"/>
    </row>
    <row r="5" spans="1:17" ht="14.25" customHeight="1">
      <c r="B5" s="236"/>
      <c r="C5" s="180" t="s">
        <v>17</v>
      </c>
      <c r="D5" s="205">
        <v>15256.31</v>
      </c>
      <c r="E5" s="238"/>
      <c r="F5" s="205">
        <v>23358.63</v>
      </c>
      <c r="G5" s="249"/>
      <c r="I5" s="208"/>
      <c r="K5" s="41"/>
    </row>
    <row r="6" spans="1:17" ht="14.25" customHeight="1">
      <c r="B6" s="195" t="s">
        <v>117</v>
      </c>
      <c r="C6" s="206"/>
      <c r="D6" s="206"/>
      <c r="E6" s="207"/>
      <c r="G6" s="169"/>
      <c r="I6" s="209"/>
    </row>
    <row r="7" spans="1:17" ht="14.25" customHeight="1">
      <c r="B7" s="210"/>
      <c r="C7" s="183"/>
      <c r="D7" s="184"/>
      <c r="E7" s="185"/>
      <c r="F7" s="184"/>
      <c r="G7" s="186"/>
    </row>
    <row r="8" spans="1:17" ht="14.25" customHeight="1">
      <c r="B8" s="187"/>
      <c r="C8" s="183"/>
      <c r="D8" s="184"/>
      <c r="E8" s="176">
        <v>45838</v>
      </c>
      <c r="F8" s="177"/>
      <c r="G8" s="178">
        <v>45747</v>
      </c>
      <c r="I8" s="208"/>
    </row>
    <row r="9" spans="1:17" ht="14.25" customHeight="1">
      <c r="B9" s="235" t="s">
        <v>96</v>
      </c>
      <c r="C9" s="179" t="s">
        <v>97</v>
      </c>
      <c r="D9" s="204" t="s">
        <v>120</v>
      </c>
      <c r="E9" s="237">
        <v>4.03</v>
      </c>
      <c r="F9" s="204" t="s">
        <v>118</v>
      </c>
      <c r="G9" s="243">
        <v>3.01</v>
      </c>
      <c r="J9" s="41"/>
      <c r="L9" s="41">
        <f>I9+J9</f>
        <v>0</v>
      </c>
    </row>
    <row r="10" spans="1:17" ht="14.25" customHeight="1">
      <c r="B10" s="236"/>
      <c r="C10" s="180" t="s">
        <v>98</v>
      </c>
      <c r="D10" s="205" t="s">
        <v>121</v>
      </c>
      <c r="E10" s="238"/>
      <c r="F10" s="205" t="s">
        <v>119</v>
      </c>
      <c r="G10" s="244"/>
      <c r="I10" s="209"/>
    </row>
    <row r="11" spans="1:17" ht="14.25" customHeight="1">
      <c r="A11" s="175"/>
      <c r="B11" s="195" t="s">
        <v>122</v>
      </c>
      <c r="C11" s="206"/>
      <c r="D11" s="206"/>
      <c r="E11" s="207"/>
      <c r="F11" s="206"/>
      <c r="G11" s="169"/>
      <c r="H11" s="175"/>
      <c r="I11" s="175"/>
      <c r="J11" s="175"/>
      <c r="K11" s="175"/>
      <c r="L11" s="175"/>
      <c r="M11" s="175"/>
      <c r="N11" s="175"/>
      <c r="O11" s="175"/>
      <c r="P11" s="175"/>
      <c r="Q11" s="175"/>
    </row>
    <row r="12" spans="1:17" ht="14.25" customHeight="1">
      <c r="A12" s="175"/>
      <c r="B12" s="195"/>
      <c r="C12" s="2"/>
      <c r="D12" s="2"/>
      <c r="E12" s="168"/>
      <c r="F12" s="2"/>
      <c r="G12" s="169"/>
      <c r="H12" s="175"/>
      <c r="I12" s="175"/>
      <c r="J12" s="175"/>
      <c r="K12" s="175"/>
      <c r="L12" s="175"/>
      <c r="M12" s="175"/>
      <c r="N12" s="175"/>
      <c r="O12" s="175"/>
      <c r="P12" s="175"/>
      <c r="Q12" s="175"/>
    </row>
    <row r="13" spans="1:17" ht="14.25" customHeight="1">
      <c r="A13" s="175"/>
      <c r="B13" s="193"/>
      <c r="C13" s="2"/>
      <c r="D13" s="2"/>
      <c r="E13" s="176">
        <v>45838</v>
      </c>
      <c r="F13" s="177"/>
      <c r="G13" s="178">
        <v>45747</v>
      </c>
      <c r="H13" s="175"/>
      <c r="I13" s="175"/>
      <c r="J13" s="175"/>
      <c r="K13" s="175"/>
      <c r="L13" s="175"/>
      <c r="M13" s="175"/>
      <c r="N13" s="175"/>
      <c r="O13" s="175"/>
      <c r="P13" s="175"/>
      <c r="Q13" s="175"/>
    </row>
    <row r="14" spans="1:17" ht="14.25" customHeight="1">
      <c r="B14" s="235" t="s">
        <v>101</v>
      </c>
      <c r="C14" s="179" t="s">
        <v>102</v>
      </c>
      <c r="D14" s="211">
        <v>61408.74</v>
      </c>
      <c r="E14" s="237">
        <v>4.03</v>
      </c>
      <c r="F14" s="211">
        <v>70194.37</v>
      </c>
      <c r="G14" s="243">
        <v>3.01</v>
      </c>
      <c r="I14" s="41"/>
      <c r="J14" s="41"/>
      <c r="L14" s="41"/>
    </row>
    <row r="15" spans="1:17" ht="14.25" customHeight="1">
      <c r="B15" s="236"/>
      <c r="C15" s="180" t="s">
        <v>103</v>
      </c>
      <c r="D15" s="205">
        <v>15256.61</v>
      </c>
      <c r="E15" s="238"/>
      <c r="F15" s="205">
        <v>23358.63</v>
      </c>
      <c r="G15" s="244"/>
      <c r="I15" s="41"/>
      <c r="J15" s="41"/>
      <c r="K15" s="41"/>
    </row>
    <row r="16" spans="1:17" ht="14.25" customHeight="1">
      <c r="B16" s="218" t="s">
        <v>123</v>
      </c>
      <c r="C16" s="212"/>
      <c r="D16" s="213"/>
      <c r="E16" s="214"/>
      <c r="F16" s="184"/>
      <c r="G16" s="186"/>
      <c r="I16" s="209"/>
    </row>
    <row r="17" spans="2:9" ht="14.25" customHeight="1">
      <c r="B17" s="228"/>
      <c r="C17" s="223"/>
      <c r="D17" s="224"/>
      <c r="E17" s="225"/>
      <c r="F17" s="226"/>
      <c r="G17" s="227"/>
      <c r="I17" s="209"/>
    </row>
    <row r="18" spans="2:9" ht="14.25" customHeight="1">
      <c r="B18" s="222"/>
      <c r="C18" s="212"/>
      <c r="D18" s="213"/>
      <c r="E18" s="214"/>
      <c r="F18" s="184"/>
      <c r="G18" s="229"/>
      <c r="I18" s="209"/>
    </row>
    <row r="19" spans="2:9" ht="14.25" customHeight="1">
      <c r="B19" s="203"/>
      <c r="E19" s="168"/>
      <c r="G19" s="168"/>
    </row>
    <row r="20" spans="2:9" ht="14.25" customHeight="1">
      <c r="B20" s="203"/>
      <c r="E20" s="168"/>
      <c r="G20" s="168"/>
    </row>
    <row r="21" spans="2:9" ht="14.25" customHeight="1">
      <c r="B21" s="203"/>
      <c r="E21" s="168"/>
      <c r="G21" s="168"/>
    </row>
    <row r="22" spans="2:9" ht="14.25" customHeight="1">
      <c r="B22" s="203"/>
      <c r="E22" s="168"/>
      <c r="G22" s="168"/>
    </row>
    <row r="23" spans="2:9" ht="14.25" customHeight="1">
      <c r="B23" s="203"/>
      <c r="E23" s="168"/>
      <c r="G23" s="168"/>
    </row>
    <row r="24" spans="2:9" ht="14.25" customHeight="1">
      <c r="B24" s="203"/>
      <c r="E24" s="168"/>
      <c r="G24" s="168"/>
    </row>
    <row r="25" spans="2:9" ht="14.25" customHeight="1">
      <c r="B25" s="203"/>
      <c r="E25" s="168"/>
      <c r="G25" s="168"/>
    </row>
    <row r="26" spans="2:9" ht="14.25" customHeight="1">
      <c r="B26" s="203"/>
      <c r="E26" s="168"/>
      <c r="G26" s="168"/>
    </row>
    <row r="27" spans="2:9" ht="14.25" customHeight="1">
      <c r="B27" s="203"/>
      <c r="E27" s="168"/>
      <c r="G27" s="168"/>
    </row>
    <row r="28" spans="2:9" ht="14.25" customHeight="1">
      <c r="B28" s="203"/>
      <c r="E28" s="168"/>
      <c r="G28" s="168"/>
    </row>
    <row r="29" spans="2:9" ht="14.25" customHeight="1">
      <c r="B29" s="203"/>
      <c r="E29" s="168"/>
      <c r="G29" s="168"/>
    </row>
    <row r="30" spans="2:9" ht="14.25" customHeight="1">
      <c r="B30" s="203"/>
      <c r="E30" s="168"/>
      <c r="G30" s="168"/>
    </row>
    <row r="31" spans="2:9" ht="14.25" customHeight="1">
      <c r="B31" s="203"/>
      <c r="E31" s="168"/>
      <c r="G31" s="168"/>
    </row>
    <row r="32" spans="2:9" ht="14.25" customHeight="1">
      <c r="B32" s="203"/>
      <c r="E32" s="168"/>
      <c r="G32" s="168"/>
    </row>
    <row r="33" spans="2:7" ht="14.25" customHeight="1">
      <c r="B33" s="203"/>
      <c r="E33" s="168"/>
      <c r="G33" s="168"/>
    </row>
    <row r="34" spans="2:7" ht="14.25" customHeight="1">
      <c r="B34" s="203"/>
      <c r="E34" s="168"/>
      <c r="G34" s="168"/>
    </row>
    <row r="35" spans="2:7" ht="14.25" customHeight="1">
      <c r="B35" s="203"/>
      <c r="E35" s="168"/>
      <c r="G35" s="168"/>
    </row>
    <row r="36" spans="2:7" ht="14.25" customHeight="1">
      <c r="B36" s="203"/>
      <c r="E36" s="168"/>
      <c r="G36" s="168"/>
    </row>
    <row r="37" spans="2:7" ht="14.25" customHeight="1">
      <c r="B37" s="203"/>
      <c r="E37" s="168"/>
      <c r="G37" s="168"/>
    </row>
    <row r="38" spans="2:7" ht="14.25" customHeight="1">
      <c r="B38" s="203"/>
      <c r="E38" s="168"/>
      <c r="G38" s="168"/>
    </row>
    <row r="39" spans="2:7" ht="14.25" customHeight="1">
      <c r="B39" s="203"/>
      <c r="E39" s="168"/>
      <c r="G39" s="168"/>
    </row>
    <row r="40" spans="2:7" ht="14.25" customHeight="1">
      <c r="B40" s="203"/>
      <c r="E40" s="168"/>
      <c r="G40" s="168"/>
    </row>
    <row r="41" spans="2:7" ht="14.25" customHeight="1">
      <c r="B41" s="203"/>
      <c r="E41" s="168"/>
      <c r="G41" s="168"/>
    </row>
    <row r="42" spans="2:7" ht="14.25" customHeight="1">
      <c r="B42" s="203"/>
      <c r="E42" s="168"/>
      <c r="G42" s="168"/>
    </row>
    <row r="43" spans="2:7" ht="14.25" customHeight="1">
      <c r="B43" s="203"/>
      <c r="E43" s="168"/>
      <c r="G43" s="168"/>
    </row>
    <row r="44" spans="2:7" ht="14.25" customHeight="1">
      <c r="B44" s="203"/>
      <c r="E44" s="168"/>
      <c r="G44" s="168"/>
    </row>
    <row r="45" spans="2:7" ht="14.25" customHeight="1">
      <c r="B45" s="203"/>
      <c r="E45" s="168"/>
      <c r="G45" s="168"/>
    </row>
    <row r="46" spans="2:7" ht="14.25" customHeight="1">
      <c r="B46" s="203"/>
      <c r="E46" s="168"/>
      <c r="G46" s="168"/>
    </row>
    <row r="47" spans="2:7" ht="14.25" customHeight="1">
      <c r="B47" s="203"/>
      <c r="E47" s="168"/>
      <c r="G47" s="168"/>
    </row>
    <row r="48" spans="2:7" ht="14.25" customHeight="1">
      <c r="B48" s="203"/>
      <c r="E48" s="168"/>
      <c r="G48" s="168"/>
    </row>
    <row r="49" spans="2:7" ht="14.25" customHeight="1">
      <c r="B49" s="203"/>
      <c r="E49" s="168"/>
      <c r="G49" s="168"/>
    </row>
    <row r="50" spans="2:7" ht="14.25" customHeight="1">
      <c r="B50" s="203"/>
      <c r="E50" s="168"/>
      <c r="G50" s="168"/>
    </row>
    <row r="51" spans="2:7" ht="14.25" customHeight="1">
      <c r="B51" s="203"/>
      <c r="E51" s="168"/>
      <c r="G51" s="168"/>
    </row>
    <row r="52" spans="2:7" ht="14.25" customHeight="1">
      <c r="B52" s="203"/>
      <c r="E52" s="168"/>
      <c r="G52" s="168"/>
    </row>
    <row r="53" spans="2:7" ht="14.25" customHeight="1">
      <c r="B53" s="203"/>
      <c r="E53" s="168"/>
      <c r="G53" s="168"/>
    </row>
    <row r="54" spans="2:7" ht="14.25" customHeight="1">
      <c r="B54" s="203"/>
      <c r="E54" s="168"/>
      <c r="G54" s="168"/>
    </row>
    <row r="55" spans="2:7" ht="14.25" customHeight="1">
      <c r="B55" s="203"/>
      <c r="E55" s="168"/>
      <c r="G55" s="168"/>
    </row>
    <row r="56" spans="2:7" ht="14.25" customHeight="1">
      <c r="B56" s="203"/>
      <c r="E56" s="168"/>
      <c r="G56" s="168"/>
    </row>
    <row r="57" spans="2:7" ht="14.25" customHeight="1">
      <c r="B57" s="203"/>
      <c r="E57" s="168"/>
      <c r="G57" s="168"/>
    </row>
    <row r="58" spans="2:7" ht="14.25" customHeight="1">
      <c r="B58" s="203"/>
      <c r="E58" s="168"/>
      <c r="G58" s="168"/>
    </row>
    <row r="59" spans="2:7" ht="14.25" customHeight="1">
      <c r="B59" s="203"/>
      <c r="E59" s="168"/>
      <c r="G59" s="168"/>
    </row>
    <row r="60" spans="2:7" ht="14.25" customHeight="1">
      <c r="B60" s="203"/>
      <c r="E60" s="168"/>
      <c r="G60" s="168"/>
    </row>
    <row r="61" spans="2:7" ht="14.25" customHeight="1">
      <c r="B61" s="203"/>
      <c r="E61" s="168"/>
      <c r="G61" s="168"/>
    </row>
    <row r="62" spans="2:7" ht="14.25" customHeight="1">
      <c r="B62" s="203"/>
      <c r="E62" s="168"/>
      <c r="G62" s="168"/>
    </row>
    <row r="63" spans="2:7" ht="14.25" customHeight="1">
      <c r="B63" s="203"/>
      <c r="E63" s="168"/>
      <c r="G63" s="168"/>
    </row>
    <row r="64" spans="2:7" ht="14.25" customHeight="1">
      <c r="B64" s="203"/>
      <c r="E64" s="168"/>
      <c r="G64" s="168"/>
    </row>
    <row r="65" spans="2:7" ht="14.25" customHeight="1">
      <c r="B65" s="203"/>
      <c r="E65" s="168"/>
      <c r="G65" s="168"/>
    </row>
    <row r="66" spans="2:7" ht="14.25" customHeight="1">
      <c r="B66" s="203"/>
      <c r="E66" s="168"/>
      <c r="G66" s="168"/>
    </row>
    <row r="67" spans="2:7" ht="14.25" customHeight="1">
      <c r="B67" s="203"/>
      <c r="E67" s="168"/>
      <c r="G67" s="168"/>
    </row>
    <row r="68" spans="2:7" ht="14.25" customHeight="1">
      <c r="B68" s="203"/>
      <c r="E68" s="168"/>
      <c r="G68" s="168"/>
    </row>
    <row r="69" spans="2:7" ht="14.25" customHeight="1">
      <c r="B69" s="203"/>
      <c r="E69" s="168"/>
      <c r="G69" s="168"/>
    </row>
    <row r="70" spans="2:7" ht="14.25" customHeight="1">
      <c r="B70" s="203"/>
      <c r="E70" s="168"/>
      <c r="G70" s="168"/>
    </row>
    <row r="71" spans="2:7" ht="14.25" customHeight="1">
      <c r="B71" s="203"/>
      <c r="E71" s="168"/>
      <c r="G71" s="168"/>
    </row>
    <row r="72" spans="2:7" ht="14.25" customHeight="1">
      <c r="B72" s="203"/>
      <c r="E72" s="168"/>
      <c r="G72" s="168"/>
    </row>
    <row r="73" spans="2:7" ht="14.25" customHeight="1">
      <c r="B73" s="203"/>
      <c r="E73" s="168"/>
      <c r="G73" s="168"/>
    </row>
    <row r="74" spans="2:7" ht="14.25" customHeight="1">
      <c r="B74" s="203"/>
      <c r="E74" s="168"/>
      <c r="G74" s="168"/>
    </row>
    <row r="75" spans="2:7" ht="14.25" customHeight="1">
      <c r="B75" s="203"/>
      <c r="E75" s="168"/>
      <c r="G75" s="168"/>
    </row>
    <row r="76" spans="2:7" ht="14.25" customHeight="1">
      <c r="B76" s="203"/>
      <c r="E76" s="168"/>
      <c r="G76" s="168"/>
    </row>
    <row r="77" spans="2:7" ht="14.25" customHeight="1">
      <c r="B77" s="203"/>
      <c r="E77" s="168"/>
      <c r="G77" s="168"/>
    </row>
    <row r="78" spans="2:7" ht="14.25" customHeight="1">
      <c r="B78" s="203"/>
      <c r="E78" s="168"/>
      <c r="G78" s="168"/>
    </row>
    <row r="79" spans="2:7" ht="14.25" customHeight="1">
      <c r="B79" s="203"/>
      <c r="E79" s="168"/>
      <c r="G79" s="168"/>
    </row>
    <row r="80" spans="2:7" ht="14.25" customHeight="1">
      <c r="B80" s="203"/>
      <c r="E80" s="168"/>
      <c r="G80" s="168"/>
    </row>
    <row r="81" spans="2:7" ht="14.25" customHeight="1">
      <c r="B81" s="203"/>
      <c r="E81" s="168"/>
      <c r="G81" s="168"/>
    </row>
    <row r="82" spans="2:7" ht="14.25" customHeight="1">
      <c r="B82" s="203"/>
      <c r="E82" s="168"/>
      <c r="G82" s="168"/>
    </row>
    <row r="83" spans="2:7" ht="14.25" customHeight="1">
      <c r="B83" s="203"/>
      <c r="E83" s="168"/>
      <c r="G83" s="168"/>
    </row>
    <row r="84" spans="2:7" ht="14.25" customHeight="1">
      <c r="B84" s="203"/>
      <c r="E84" s="168"/>
      <c r="G84" s="168"/>
    </row>
    <row r="85" spans="2:7" ht="14.25" customHeight="1">
      <c r="B85" s="203"/>
      <c r="E85" s="168"/>
      <c r="G85" s="168"/>
    </row>
    <row r="86" spans="2:7" ht="14.25" customHeight="1">
      <c r="B86" s="203"/>
      <c r="E86" s="168"/>
      <c r="G86" s="168"/>
    </row>
    <row r="87" spans="2:7" ht="14.25" customHeight="1">
      <c r="B87" s="203"/>
      <c r="E87" s="168"/>
      <c r="G87" s="168"/>
    </row>
    <row r="88" spans="2:7" ht="14.25" customHeight="1">
      <c r="B88" s="203"/>
      <c r="E88" s="168"/>
      <c r="G88" s="168"/>
    </row>
    <row r="89" spans="2:7" ht="14.25" customHeight="1">
      <c r="B89" s="203"/>
      <c r="E89" s="168"/>
      <c r="G89" s="168"/>
    </row>
    <row r="90" spans="2:7" ht="14.25" customHeight="1">
      <c r="B90" s="203"/>
      <c r="E90" s="168"/>
      <c r="G90" s="168"/>
    </row>
    <row r="91" spans="2:7" ht="14.25" customHeight="1">
      <c r="B91" s="203"/>
      <c r="E91" s="168"/>
      <c r="G91" s="168"/>
    </row>
    <row r="92" spans="2:7" ht="14.25" customHeight="1">
      <c r="B92" s="203"/>
      <c r="E92" s="168"/>
      <c r="G92" s="168"/>
    </row>
    <row r="93" spans="2:7" ht="14.25" customHeight="1">
      <c r="B93" s="203"/>
      <c r="E93" s="168"/>
      <c r="G93" s="168"/>
    </row>
    <row r="94" spans="2:7" ht="14.25" customHeight="1">
      <c r="B94" s="203"/>
      <c r="E94" s="168"/>
      <c r="G94" s="168"/>
    </row>
    <row r="95" spans="2:7" ht="14.25" customHeight="1">
      <c r="B95" s="203"/>
      <c r="E95" s="168"/>
      <c r="G95" s="168"/>
    </row>
    <row r="96" spans="2:7" ht="14.25" customHeight="1">
      <c r="B96" s="203"/>
      <c r="E96" s="168"/>
      <c r="G96" s="168"/>
    </row>
    <row r="97" spans="2:7" ht="14.25" customHeight="1">
      <c r="B97" s="203"/>
      <c r="E97" s="168"/>
      <c r="G97" s="168"/>
    </row>
    <row r="98" spans="2:7" ht="14.25" customHeight="1">
      <c r="B98" s="203"/>
      <c r="E98" s="168"/>
      <c r="G98" s="168"/>
    </row>
    <row r="99" spans="2:7" ht="14.25" customHeight="1">
      <c r="B99" s="203"/>
      <c r="E99" s="168"/>
      <c r="G99" s="168"/>
    </row>
    <row r="100" spans="2:7" ht="14.25" customHeight="1">
      <c r="B100" s="203"/>
      <c r="E100" s="168"/>
      <c r="G100" s="168"/>
    </row>
    <row r="101" spans="2:7" ht="14.25" customHeight="1">
      <c r="B101" s="203"/>
      <c r="E101" s="168"/>
      <c r="G101" s="168"/>
    </row>
    <row r="102" spans="2:7" ht="14.25" customHeight="1">
      <c r="B102" s="203"/>
      <c r="E102" s="168"/>
      <c r="G102" s="168"/>
    </row>
    <row r="103" spans="2:7" ht="14.25" customHeight="1">
      <c r="B103" s="203"/>
      <c r="E103" s="168"/>
      <c r="G103" s="168"/>
    </row>
    <row r="104" spans="2:7" ht="14.25" customHeight="1">
      <c r="B104" s="203"/>
      <c r="E104" s="168"/>
      <c r="G104" s="168"/>
    </row>
    <row r="105" spans="2:7" ht="14.25" customHeight="1">
      <c r="B105" s="203"/>
      <c r="E105" s="168"/>
      <c r="G105" s="168"/>
    </row>
    <row r="106" spans="2:7" ht="14.25" customHeight="1">
      <c r="B106" s="203"/>
      <c r="E106" s="168"/>
      <c r="G106" s="168"/>
    </row>
    <row r="107" spans="2:7" ht="14.25" customHeight="1">
      <c r="B107" s="203"/>
      <c r="E107" s="168"/>
      <c r="G107" s="168"/>
    </row>
    <row r="108" spans="2:7" ht="14.25" customHeight="1">
      <c r="B108" s="203"/>
      <c r="E108" s="168"/>
      <c r="G108" s="168"/>
    </row>
    <row r="109" spans="2:7" ht="14.25" customHeight="1">
      <c r="B109" s="203"/>
      <c r="E109" s="168"/>
      <c r="G109" s="168"/>
    </row>
    <row r="110" spans="2:7" ht="14.25" customHeight="1">
      <c r="B110" s="203"/>
      <c r="E110" s="168"/>
      <c r="G110" s="168"/>
    </row>
    <row r="111" spans="2:7" ht="14.25" customHeight="1">
      <c r="B111" s="203"/>
      <c r="E111" s="168"/>
      <c r="G111" s="168"/>
    </row>
    <row r="112" spans="2:7" ht="14.25" customHeight="1">
      <c r="B112" s="203"/>
      <c r="E112" s="168"/>
      <c r="G112" s="168"/>
    </row>
    <row r="113" spans="2:7" ht="14.25" customHeight="1">
      <c r="B113" s="203"/>
      <c r="E113" s="168"/>
      <c r="G113" s="168"/>
    </row>
    <row r="114" spans="2:7" ht="14.25" customHeight="1">
      <c r="B114" s="203"/>
      <c r="E114" s="168"/>
      <c r="G114" s="168"/>
    </row>
    <row r="115" spans="2:7" ht="14.25" customHeight="1">
      <c r="B115" s="203"/>
      <c r="E115" s="168"/>
      <c r="G115" s="168"/>
    </row>
    <row r="116" spans="2:7" ht="14.25" customHeight="1">
      <c r="B116" s="203"/>
      <c r="E116" s="168"/>
      <c r="G116" s="168"/>
    </row>
    <row r="117" spans="2:7" ht="14.25" customHeight="1">
      <c r="B117" s="203"/>
      <c r="E117" s="168"/>
      <c r="G117" s="168"/>
    </row>
    <row r="118" spans="2:7" ht="14.25" customHeight="1">
      <c r="B118" s="203"/>
      <c r="E118" s="168"/>
      <c r="G118" s="168"/>
    </row>
    <row r="119" spans="2:7" ht="14.25" customHeight="1">
      <c r="B119" s="203"/>
      <c r="E119" s="168"/>
      <c r="G119" s="168"/>
    </row>
    <row r="120" spans="2:7" ht="14.25" customHeight="1">
      <c r="B120" s="203"/>
      <c r="E120" s="168"/>
      <c r="G120" s="168"/>
    </row>
    <row r="121" spans="2:7" ht="14.25" customHeight="1">
      <c r="B121" s="203"/>
      <c r="E121" s="168"/>
      <c r="G121" s="168"/>
    </row>
    <row r="122" spans="2:7" ht="14.25" customHeight="1">
      <c r="B122" s="203"/>
      <c r="E122" s="168"/>
      <c r="G122" s="168"/>
    </row>
    <row r="123" spans="2:7" ht="14.25" customHeight="1">
      <c r="B123" s="203"/>
      <c r="E123" s="168"/>
      <c r="G123" s="168"/>
    </row>
    <row r="124" spans="2:7" ht="14.25" customHeight="1">
      <c r="B124" s="203"/>
      <c r="E124" s="168"/>
      <c r="G124" s="168"/>
    </row>
    <row r="125" spans="2:7" ht="14.25" customHeight="1">
      <c r="B125" s="203"/>
      <c r="E125" s="168"/>
      <c r="G125" s="168"/>
    </row>
    <row r="126" spans="2:7" ht="14.25" customHeight="1">
      <c r="B126" s="203"/>
      <c r="E126" s="168"/>
      <c r="G126" s="168"/>
    </row>
    <row r="127" spans="2:7" ht="14.25" customHeight="1">
      <c r="B127" s="203"/>
      <c r="E127" s="168"/>
      <c r="G127" s="168"/>
    </row>
    <row r="128" spans="2:7" ht="14.25" customHeight="1">
      <c r="B128" s="203"/>
      <c r="E128" s="168"/>
      <c r="G128" s="168"/>
    </row>
    <row r="129" spans="2:7" ht="14.25" customHeight="1">
      <c r="B129" s="203"/>
      <c r="E129" s="168"/>
      <c r="G129" s="168"/>
    </row>
    <row r="130" spans="2:7" ht="14.25" customHeight="1">
      <c r="B130" s="203"/>
      <c r="E130" s="168"/>
      <c r="G130" s="168"/>
    </row>
    <row r="131" spans="2:7" ht="14.25" customHeight="1">
      <c r="B131" s="203"/>
      <c r="E131" s="168"/>
      <c r="G131" s="168"/>
    </row>
    <row r="132" spans="2:7" ht="14.25" customHeight="1">
      <c r="B132" s="203"/>
      <c r="E132" s="168"/>
      <c r="G132" s="168"/>
    </row>
    <row r="133" spans="2:7" ht="14.25" customHeight="1">
      <c r="B133" s="203"/>
      <c r="E133" s="168"/>
      <c r="G133" s="168"/>
    </row>
    <row r="134" spans="2:7" ht="14.25" customHeight="1">
      <c r="B134" s="203"/>
      <c r="E134" s="168"/>
      <c r="G134" s="168"/>
    </row>
    <row r="135" spans="2:7" ht="14.25" customHeight="1">
      <c r="B135" s="203"/>
      <c r="E135" s="168"/>
      <c r="G135" s="168"/>
    </row>
    <row r="136" spans="2:7" ht="14.25" customHeight="1">
      <c r="B136" s="203"/>
      <c r="E136" s="168"/>
      <c r="G136" s="168"/>
    </row>
    <row r="137" spans="2:7" ht="14.25" customHeight="1">
      <c r="B137" s="203"/>
      <c r="E137" s="168"/>
      <c r="G137" s="168"/>
    </row>
    <row r="138" spans="2:7" ht="14.25" customHeight="1">
      <c r="B138" s="203"/>
      <c r="E138" s="168"/>
      <c r="G138" s="168"/>
    </row>
    <row r="139" spans="2:7" ht="14.25" customHeight="1">
      <c r="B139" s="203"/>
      <c r="E139" s="168"/>
      <c r="G139" s="168"/>
    </row>
    <row r="140" spans="2:7" ht="14.25" customHeight="1">
      <c r="B140" s="203"/>
      <c r="E140" s="168"/>
      <c r="G140" s="168"/>
    </row>
    <row r="141" spans="2:7" ht="14.25" customHeight="1">
      <c r="B141" s="203"/>
      <c r="E141" s="168"/>
      <c r="G141" s="168"/>
    </row>
    <row r="142" spans="2:7" ht="14.25" customHeight="1">
      <c r="B142" s="203"/>
      <c r="E142" s="168"/>
      <c r="G142" s="168"/>
    </row>
    <row r="143" spans="2:7" ht="14.25" customHeight="1">
      <c r="B143" s="203"/>
      <c r="E143" s="168"/>
      <c r="G143" s="168"/>
    </row>
    <row r="144" spans="2:7" ht="14.25" customHeight="1">
      <c r="B144" s="203"/>
      <c r="E144" s="168"/>
      <c r="G144" s="168"/>
    </row>
    <row r="145" spans="2:7" ht="14.25" customHeight="1">
      <c r="B145" s="203"/>
      <c r="E145" s="168"/>
      <c r="G145" s="168"/>
    </row>
    <row r="146" spans="2:7" ht="14.25" customHeight="1">
      <c r="B146" s="203"/>
      <c r="E146" s="168"/>
      <c r="G146" s="168"/>
    </row>
    <row r="147" spans="2:7" ht="14.25" customHeight="1">
      <c r="B147" s="203"/>
      <c r="E147" s="168"/>
      <c r="G147" s="168"/>
    </row>
    <row r="148" spans="2:7" ht="14.25" customHeight="1">
      <c r="B148" s="203"/>
      <c r="E148" s="168"/>
      <c r="G148" s="168"/>
    </row>
    <row r="149" spans="2:7" ht="14.25" customHeight="1">
      <c r="B149" s="203"/>
      <c r="E149" s="168"/>
      <c r="G149" s="168"/>
    </row>
    <row r="150" spans="2:7" ht="14.25" customHeight="1">
      <c r="B150" s="203"/>
      <c r="E150" s="168"/>
      <c r="G150" s="168"/>
    </row>
    <row r="151" spans="2:7" ht="14.25" customHeight="1">
      <c r="B151" s="203"/>
      <c r="E151" s="168"/>
      <c r="G151" s="168"/>
    </row>
    <row r="152" spans="2:7" ht="14.25" customHeight="1">
      <c r="B152" s="203"/>
      <c r="E152" s="168"/>
      <c r="G152" s="168"/>
    </row>
    <row r="153" spans="2:7" ht="14.25" customHeight="1">
      <c r="B153" s="203"/>
      <c r="E153" s="168"/>
      <c r="G153" s="168"/>
    </row>
    <row r="154" spans="2:7" ht="14.25" customHeight="1">
      <c r="B154" s="203"/>
      <c r="E154" s="168"/>
      <c r="G154" s="168"/>
    </row>
    <row r="155" spans="2:7" ht="14.25" customHeight="1">
      <c r="B155" s="203"/>
      <c r="E155" s="168"/>
      <c r="G155" s="168"/>
    </row>
    <row r="156" spans="2:7" ht="14.25" customHeight="1">
      <c r="B156" s="203"/>
      <c r="E156" s="168"/>
      <c r="G156" s="168"/>
    </row>
    <row r="157" spans="2:7" ht="14.25" customHeight="1">
      <c r="B157" s="203"/>
      <c r="E157" s="168"/>
      <c r="G157" s="168"/>
    </row>
    <row r="158" spans="2:7" ht="14.25" customHeight="1">
      <c r="B158" s="203"/>
      <c r="E158" s="168"/>
      <c r="G158" s="168"/>
    </row>
    <row r="159" spans="2:7" ht="14.25" customHeight="1">
      <c r="B159" s="203"/>
      <c r="E159" s="168"/>
      <c r="G159" s="168"/>
    </row>
    <row r="160" spans="2:7" ht="14.25" customHeight="1">
      <c r="B160" s="203"/>
      <c r="E160" s="168"/>
      <c r="G160" s="168"/>
    </row>
    <row r="161" spans="2:7" ht="14.25" customHeight="1">
      <c r="B161" s="203"/>
      <c r="E161" s="168"/>
      <c r="G161" s="168"/>
    </row>
    <row r="162" spans="2:7" ht="14.25" customHeight="1">
      <c r="B162" s="203"/>
      <c r="E162" s="168"/>
      <c r="G162" s="168"/>
    </row>
    <row r="163" spans="2:7" ht="14.25" customHeight="1">
      <c r="B163" s="203"/>
      <c r="E163" s="168"/>
      <c r="G163" s="168"/>
    </row>
    <row r="164" spans="2:7" ht="14.25" customHeight="1">
      <c r="B164" s="203"/>
      <c r="E164" s="168"/>
      <c r="G164" s="168"/>
    </row>
    <row r="165" spans="2:7" ht="14.25" customHeight="1">
      <c r="B165" s="203"/>
      <c r="E165" s="168"/>
      <c r="G165" s="168"/>
    </row>
    <row r="166" spans="2:7" ht="14.25" customHeight="1">
      <c r="B166" s="203"/>
      <c r="E166" s="168"/>
      <c r="G166" s="168"/>
    </row>
    <row r="167" spans="2:7" ht="14.25" customHeight="1">
      <c r="B167" s="203"/>
      <c r="E167" s="168"/>
      <c r="G167" s="168"/>
    </row>
    <row r="168" spans="2:7" ht="14.25" customHeight="1">
      <c r="B168" s="203"/>
      <c r="E168" s="168"/>
      <c r="G168" s="168"/>
    </row>
    <row r="169" spans="2:7" ht="14.25" customHeight="1">
      <c r="B169" s="203"/>
      <c r="E169" s="168"/>
      <c r="G169" s="168"/>
    </row>
    <row r="170" spans="2:7" ht="14.25" customHeight="1">
      <c r="B170" s="203"/>
      <c r="E170" s="168"/>
      <c r="G170" s="168"/>
    </row>
    <row r="171" spans="2:7" ht="14.25" customHeight="1">
      <c r="B171" s="203"/>
      <c r="E171" s="168"/>
      <c r="G171" s="168"/>
    </row>
    <row r="172" spans="2:7" ht="14.25" customHeight="1">
      <c r="B172" s="203"/>
      <c r="E172" s="168"/>
      <c r="G172" s="168"/>
    </row>
    <row r="173" spans="2:7" ht="14.25" customHeight="1">
      <c r="B173" s="203"/>
      <c r="E173" s="168"/>
      <c r="G173" s="168"/>
    </row>
    <row r="174" spans="2:7" ht="14.25" customHeight="1">
      <c r="B174" s="203"/>
      <c r="E174" s="168"/>
      <c r="G174" s="168"/>
    </row>
    <row r="175" spans="2:7" ht="14.25" customHeight="1">
      <c r="B175" s="203"/>
      <c r="E175" s="168"/>
      <c r="G175" s="168"/>
    </row>
    <row r="176" spans="2:7" ht="14.25" customHeight="1">
      <c r="B176" s="203"/>
      <c r="E176" s="168"/>
      <c r="G176" s="168"/>
    </row>
    <row r="177" spans="2:7" ht="14.25" customHeight="1">
      <c r="B177" s="203"/>
      <c r="E177" s="168"/>
      <c r="G177" s="168"/>
    </row>
    <row r="178" spans="2:7" ht="14.25" customHeight="1">
      <c r="B178" s="203"/>
      <c r="E178" s="168"/>
      <c r="G178" s="168"/>
    </row>
    <row r="179" spans="2:7" ht="14.25" customHeight="1">
      <c r="B179" s="203"/>
      <c r="E179" s="168"/>
      <c r="G179" s="168"/>
    </row>
    <row r="180" spans="2:7" ht="14.25" customHeight="1">
      <c r="B180" s="203"/>
      <c r="E180" s="168"/>
      <c r="G180" s="168"/>
    </row>
    <row r="181" spans="2:7" ht="14.25" customHeight="1">
      <c r="B181" s="203"/>
      <c r="E181" s="168"/>
      <c r="G181" s="168"/>
    </row>
    <row r="182" spans="2:7" ht="14.25" customHeight="1">
      <c r="B182" s="203"/>
      <c r="E182" s="168"/>
      <c r="G182" s="168"/>
    </row>
    <row r="183" spans="2:7" ht="14.25" customHeight="1">
      <c r="B183" s="203"/>
      <c r="E183" s="168"/>
      <c r="G183" s="168"/>
    </row>
    <row r="184" spans="2:7" ht="14.25" customHeight="1">
      <c r="B184" s="203"/>
      <c r="E184" s="168"/>
      <c r="G184" s="168"/>
    </row>
    <row r="185" spans="2:7" ht="14.25" customHeight="1">
      <c r="B185" s="203"/>
      <c r="E185" s="168"/>
      <c r="G185" s="168"/>
    </row>
    <row r="186" spans="2:7" ht="14.25" customHeight="1">
      <c r="B186" s="203"/>
      <c r="E186" s="168"/>
      <c r="G186" s="168"/>
    </row>
    <row r="187" spans="2:7" ht="14.25" customHeight="1">
      <c r="B187" s="203"/>
      <c r="E187" s="168"/>
      <c r="G187" s="168"/>
    </row>
    <row r="188" spans="2:7" ht="14.25" customHeight="1">
      <c r="B188" s="203"/>
      <c r="E188" s="168"/>
      <c r="G188" s="168"/>
    </row>
    <row r="189" spans="2:7" ht="14.25" customHeight="1">
      <c r="B189" s="203"/>
      <c r="E189" s="168"/>
      <c r="G189" s="168"/>
    </row>
    <row r="190" spans="2:7" ht="14.25" customHeight="1">
      <c r="B190" s="203"/>
      <c r="E190" s="168"/>
      <c r="G190" s="168"/>
    </row>
    <row r="191" spans="2:7" ht="14.25" customHeight="1">
      <c r="B191" s="203"/>
      <c r="E191" s="168"/>
      <c r="G191" s="168"/>
    </row>
    <row r="192" spans="2:7" ht="14.25" customHeight="1">
      <c r="B192" s="203"/>
      <c r="E192" s="168"/>
      <c r="G192" s="168"/>
    </row>
    <row r="193" spans="2:7" ht="14.25" customHeight="1">
      <c r="B193" s="203"/>
      <c r="E193" s="168"/>
      <c r="G193" s="168"/>
    </row>
    <row r="194" spans="2:7" ht="14.25" customHeight="1">
      <c r="B194" s="203"/>
      <c r="E194" s="168"/>
      <c r="G194" s="168"/>
    </row>
    <row r="195" spans="2:7" ht="14.25" customHeight="1">
      <c r="B195" s="203"/>
      <c r="E195" s="168"/>
      <c r="G195" s="168"/>
    </row>
    <row r="196" spans="2:7" ht="14.25" customHeight="1">
      <c r="B196" s="203"/>
      <c r="E196" s="168"/>
      <c r="G196" s="168"/>
    </row>
    <row r="197" spans="2:7" ht="14.25" customHeight="1">
      <c r="B197" s="203"/>
      <c r="E197" s="168"/>
      <c r="G197" s="168"/>
    </row>
    <row r="198" spans="2:7" ht="14.25" customHeight="1">
      <c r="B198" s="203"/>
      <c r="E198" s="168"/>
      <c r="G198" s="168"/>
    </row>
    <row r="199" spans="2:7" ht="14.25" customHeight="1">
      <c r="B199" s="203"/>
      <c r="E199" s="168"/>
      <c r="G199" s="168"/>
    </row>
    <row r="200" spans="2:7" ht="14.25" customHeight="1">
      <c r="B200" s="203"/>
      <c r="E200" s="168"/>
      <c r="G200" s="168"/>
    </row>
    <row r="201" spans="2:7" ht="14.25" customHeight="1">
      <c r="B201" s="203"/>
      <c r="E201" s="168"/>
      <c r="G201" s="168"/>
    </row>
    <row r="202" spans="2:7" ht="14.25" customHeight="1">
      <c r="B202" s="203"/>
      <c r="E202" s="168"/>
      <c r="G202" s="168"/>
    </row>
    <row r="203" spans="2:7" ht="14.25" customHeight="1">
      <c r="B203" s="203"/>
      <c r="E203" s="168"/>
      <c r="G203" s="168"/>
    </row>
    <row r="204" spans="2:7" ht="14.25" customHeight="1">
      <c r="B204" s="203"/>
      <c r="E204" s="168"/>
      <c r="G204" s="168"/>
    </row>
    <row r="205" spans="2:7" ht="14.25" customHeight="1">
      <c r="B205" s="203"/>
      <c r="E205" s="168"/>
      <c r="G205" s="168"/>
    </row>
    <row r="206" spans="2:7" ht="14.25" customHeight="1">
      <c r="B206" s="203"/>
      <c r="E206" s="168"/>
      <c r="G206" s="168"/>
    </row>
    <row r="207" spans="2:7" ht="14.25" customHeight="1">
      <c r="B207" s="203"/>
      <c r="E207" s="168"/>
      <c r="G207" s="168"/>
    </row>
    <row r="208" spans="2:7" ht="14.25" customHeight="1">
      <c r="B208" s="203"/>
      <c r="E208" s="168"/>
      <c r="G208" s="168"/>
    </row>
    <row r="209" spans="2:7" ht="14.25" customHeight="1">
      <c r="B209" s="203"/>
      <c r="E209" s="168"/>
      <c r="G209" s="168"/>
    </row>
    <row r="210" spans="2:7" ht="14.25" customHeight="1">
      <c r="B210" s="203"/>
      <c r="E210" s="168"/>
      <c r="G210" s="168"/>
    </row>
    <row r="211" spans="2:7" ht="14.25" customHeight="1">
      <c r="B211" s="203"/>
      <c r="E211" s="168"/>
      <c r="G211" s="168"/>
    </row>
    <row r="212" spans="2:7" ht="14.25" customHeight="1">
      <c r="B212" s="203"/>
      <c r="E212" s="168"/>
      <c r="G212" s="168"/>
    </row>
    <row r="213" spans="2:7" ht="14.25" customHeight="1">
      <c r="B213" s="203"/>
      <c r="E213" s="168"/>
      <c r="G213" s="168"/>
    </row>
    <row r="214" spans="2:7" ht="14.25" customHeight="1">
      <c r="B214" s="203"/>
      <c r="E214" s="168"/>
      <c r="G214" s="168"/>
    </row>
    <row r="215" spans="2:7" ht="14.25" customHeight="1">
      <c r="B215" s="203"/>
      <c r="E215" s="168"/>
      <c r="G215" s="168"/>
    </row>
    <row r="216" spans="2:7" ht="14.25" customHeight="1">
      <c r="E216" s="168"/>
      <c r="G216" s="168"/>
    </row>
    <row r="217" spans="2:7" ht="14.25" customHeight="1">
      <c r="E217" s="168"/>
      <c r="G217" s="168"/>
    </row>
    <row r="218" spans="2:7" ht="14.25" customHeight="1">
      <c r="E218" s="168"/>
      <c r="G218" s="168"/>
    </row>
    <row r="219" spans="2:7" ht="14.25" customHeight="1">
      <c r="E219" s="168"/>
      <c r="G219" s="168"/>
    </row>
    <row r="220" spans="2:7" ht="14.25" customHeight="1">
      <c r="E220" s="168"/>
      <c r="G220" s="168"/>
    </row>
    <row r="221" spans="2:7" ht="14.25" customHeight="1">
      <c r="E221" s="168"/>
      <c r="G221" s="168"/>
    </row>
    <row r="222" spans="2:7" ht="14.25" customHeight="1">
      <c r="E222" s="168"/>
      <c r="G222" s="168"/>
    </row>
    <row r="223" spans="2:7" ht="14.25" customHeight="1">
      <c r="E223" s="168"/>
      <c r="G223" s="168"/>
    </row>
    <row r="224" spans="2:7" ht="14.25" customHeight="1">
      <c r="E224" s="168"/>
      <c r="G224" s="168"/>
    </row>
    <row r="225" spans="5:7" ht="14.25" customHeight="1">
      <c r="E225" s="168"/>
      <c r="G225" s="168"/>
    </row>
    <row r="226" spans="5:7" ht="14.25" customHeight="1">
      <c r="E226" s="168"/>
      <c r="G226" s="168"/>
    </row>
    <row r="227" spans="5:7" ht="14.25" customHeight="1">
      <c r="E227" s="168"/>
      <c r="G227" s="168"/>
    </row>
    <row r="228" spans="5:7" ht="14.25" customHeight="1">
      <c r="E228" s="168"/>
      <c r="G228" s="168"/>
    </row>
    <row r="229" spans="5:7" ht="14.25" customHeight="1">
      <c r="E229" s="168"/>
      <c r="G229" s="168"/>
    </row>
    <row r="230" spans="5:7" ht="14.25" customHeight="1">
      <c r="E230" s="168"/>
      <c r="G230" s="168"/>
    </row>
    <row r="231" spans="5:7" ht="14.25" customHeight="1">
      <c r="E231" s="168"/>
      <c r="G231" s="168"/>
    </row>
    <row r="232" spans="5:7" ht="14.25" customHeight="1">
      <c r="E232" s="168"/>
      <c r="G232" s="168"/>
    </row>
    <row r="233" spans="5:7" ht="14.25" customHeight="1">
      <c r="E233" s="168"/>
      <c r="G233" s="168"/>
    </row>
    <row r="234" spans="5:7" ht="14.25" customHeight="1">
      <c r="E234" s="168"/>
      <c r="G234" s="168"/>
    </row>
    <row r="235" spans="5:7" ht="14.25" customHeight="1">
      <c r="E235" s="168"/>
      <c r="G235" s="168"/>
    </row>
    <row r="236" spans="5:7" ht="14.25" customHeight="1">
      <c r="E236" s="168"/>
      <c r="G236" s="168"/>
    </row>
    <row r="237" spans="5:7" ht="14.25" customHeight="1">
      <c r="E237" s="168"/>
      <c r="G237" s="168"/>
    </row>
    <row r="238" spans="5:7" ht="14.25" customHeight="1">
      <c r="E238" s="168"/>
      <c r="G238" s="168"/>
    </row>
    <row r="239" spans="5:7" ht="14.25" customHeight="1">
      <c r="E239" s="168"/>
      <c r="G239" s="168"/>
    </row>
    <row r="240" spans="5:7" ht="14.25" customHeight="1">
      <c r="E240" s="168"/>
      <c r="G240" s="168"/>
    </row>
    <row r="241" spans="5:7" ht="14.25" customHeight="1">
      <c r="E241" s="168"/>
      <c r="G241" s="168"/>
    </row>
    <row r="242" spans="5:7" ht="14.25" customHeight="1">
      <c r="E242" s="168"/>
      <c r="G242" s="168"/>
    </row>
    <row r="243" spans="5:7" ht="14.25" customHeight="1">
      <c r="E243" s="168"/>
      <c r="G243" s="168"/>
    </row>
    <row r="244" spans="5:7" ht="14.25" customHeight="1">
      <c r="E244" s="168"/>
      <c r="G244" s="168"/>
    </row>
    <row r="245" spans="5:7" ht="14.25" customHeight="1">
      <c r="E245" s="168"/>
      <c r="G245" s="168"/>
    </row>
    <row r="246" spans="5:7" ht="14.25" customHeight="1">
      <c r="E246" s="168"/>
      <c r="G246" s="168"/>
    </row>
    <row r="247" spans="5:7" ht="14.25" customHeight="1">
      <c r="E247" s="168"/>
      <c r="G247" s="168"/>
    </row>
    <row r="248" spans="5:7" ht="14.25" customHeight="1">
      <c r="E248" s="168"/>
      <c r="G248" s="168"/>
    </row>
    <row r="249" spans="5:7" ht="14.25" customHeight="1">
      <c r="E249" s="168"/>
      <c r="G249" s="168"/>
    </row>
    <row r="250" spans="5:7" ht="14.25" customHeight="1">
      <c r="E250" s="168"/>
      <c r="G250" s="168"/>
    </row>
    <row r="251" spans="5:7" ht="14.25" customHeight="1">
      <c r="E251" s="168"/>
      <c r="G251" s="168"/>
    </row>
    <row r="252" spans="5:7" ht="14.25" customHeight="1">
      <c r="E252" s="168"/>
      <c r="G252" s="168"/>
    </row>
    <row r="253" spans="5:7" ht="14.25" customHeight="1">
      <c r="E253" s="168"/>
      <c r="G253" s="168"/>
    </row>
    <row r="254" spans="5:7" ht="14.25" customHeight="1">
      <c r="E254" s="168"/>
      <c r="G254" s="168"/>
    </row>
    <row r="255" spans="5:7" ht="14.25" customHeight="1">
      <c r="E255" s="168"/>
      <c r="G255" s="168"/>
    </row>
    <row r="256" spans="5:7" ht="14.25" customHeight="1">
      <c r="E256" s="168"/>
      <c r="G256" s="168"/>
    </row>
    <row r="257" spans="5:7" ht="14.25" customHeight="1">
      <c r="E257" s="168"/>
      <c r="G257" s="168"/>
    </row>
    <row r="258" spans="5:7" ht="14.25" customHeight="1">
      <c r="E258" s="168"/>
      <c r="G258" s="168"/>
    </row>
    <row r="259" spans="5:7" ht="14.25" customHeight="1">
      <c r="E259" s="168"/>
      <c r="G259" s="168"/>
    </row>
    <row r="260" spans="5:7" ht="14.25" customHeight="1">
      <c r="E260" s="168"/>
      <c r="G260" s="168"/>
    </row>
    <row r="261" spans="5:7" ht="14.25" customHeight="1">
      <c r="E261" s="168"/>
      <c r="G261" s="168"/>
    </row>
    <row r="262" spans="5:7" ht="14.25" customHeight="1">
      <c r="E262" s="168"/>
      <c r="G262" s="168"/>
    </row>
    <row r="263" spans="5:7" ht="14.25" customHeight="1">
      <c r="E263" s="168"/>
      <c r="G263" s="168"/>
    </row>
    <row r="264" spans="5:7" ht="14.25" customHeight="1">
      <c r="E264" s="168"/>
      <c r="G264" s="168"/>
    </row>
    <row r="265" spans="5:7" ht="14.25" customHeight="1">
      <c r="E265" s="168"/>
      <c r="G265" s="168"/>
    </row>
    <row r="266" spans="5:7" ht="14.25" customHeight="1">
      <c r="E266" s="168"/>
      <c r="G266" s="168"/>
    </row>
    <row r="267" spans="5:7" ht="14.25" customHeight="1">
      <c r="E267" s="168"/>
      <c r="G267" s="168"/>
    </row>
    <row r="268" spans="5:7" ht="14.25" customHeight="1">
      <c r="E268" s="168"/>
      <c r="G268" s="168"/>
    </row>
    <row r="269" spans="5:7" ht="14.25" customHeight="1">
      <c r="E269" s="168"/>
      <c r="G269" s="168"/>
    </row>
    <row r="270" spans="5:7" ht="14.25" customHeight="1">
      <c r="E270" s="168"/>
      <c r="G270" s="168"/>
    </row>
    <row r="271" spans="5:7" ht="14.25" customHeight="1">
      <c r="E271" s="168"/>
      <c r="G271" s="168"/>
    </row>
    <row r="272" spans="5:7" ht="14.25" customHeight="1">
      <c r="E272" s="168"/>
      <c r="G272" s="168"/>
    </row>
    <row r="273" spans="5:7" ht="14.25" customHeight="1">
      <c r="E273" s="168"/>
      <c r="G273" s="168"/>
    </row>
    <row r="274" spans="5:7" ht="14.25" customHeight="1">
      <c r="E274" s="168"/>
      <c r="G274" s="168"/>
    </row>
    <row r="275" spans="5:7" ht="14.25" customHeight="1">
      <c r="E275" s="168"/>
      <c r="G275" s="168"/>
    </row>
    <row r="276" spans="5:7" ht="14.25" customHeight="1">
      <c r="E276" s="168"/>
      <c r="G276" s="168"/>
    </row>
    <row r="277" spans="5:7" ht="14.25" customHeight="1">
      <c r="E277" s="168"/>
      <c r="G277" s="168"/>
    </row>
    <row r="278" spans="5:7" ht="14.25" customHeight="1">
      <c r="E278" s="168"/>
      <c r="G278" s="168"/>
    </row>
    <row r="279" spans="5:7" ht="14.25" customHeight="1">
      <c r="E279" s="168"/>
      <c r="G279" s="168"/>
    </row>
    <row r="280" spans="5:7" ht="14.25" customHeight="1">
      <c r="E280" s="168"/>
      <c r="G280" s="168"/>
    </row>
    <row r="281" spans="5:7" ht="14.25" customHeight="1">
      <c r="E281" s="168"/>
      <c r="G281" s="168"/>
    </row>
    <row r="282" spans="5:7" ht="14.25" customHeight="1">
      <c r="E282" s="168"/>
      <c r="G282" s="168"/>
    </row>
    <row r="283" spans="5:7" ht="14.25" customHeight="1">
      <c r="E283" s="168"/>
      <c r="G283" s="168"/>
    </row>
    <row r="284" spans="5:7" ht="14.25" customHeight="1">
      <c r="E284" s="168"/>
      <c r="G284" s="168"/>
    </row>
    <row r="285" spans="5:7" ht="14.25" customHeight="1">
      <c r="E285" s="168"/>
      <c r="G285" s="168"/>
    </row>
    <row r="286" spans="5:7" ht="14.25" customHeight="1">
      <c r="E286" s="168"/>
      <c r="G286" s="168"/>
    </row>
    <row r="287" spans="5:7" ht="14.25" customHeight="1">
      <c r="E287" s="168"/>
      <c r="G287" s="168"/>
    </row>
    <row r="288" spans="5:7" ht="14.25" customHeight="1">
      <c r="E288" s="168"/>
      <c r="G288" s="168"/>
    </row>
    <row r="289" spans="5:7" ht="14.25" customHeight="1">
      <c r="E289" s="168"/>
      <c r="G289" s="168"/>
    </row>
    <row r="290" spans="5:7" ht="14.25" customHeight="1">
      <c r="E290" s="168"/>
      <c r="G290" s="168"/>
    </row>
    <row r="291" spans="5:7" ht="14.25" customHeight="1">
      <c r="E291" s="168"/>
      <c r="G291" s="168"/>
    </row>
    <row r="292" spans="5:7" ht="14.25" customHeight="1">
      <c r="E292" s="168"/>
      <c r="G292" s="168"/>
    </row>
    <row r="293" spans="5:7" ht="14.25" customHeight="1">
      <c r="E293" s="168"/>
      <c r="G293" s="168"/>
    </row>
    <row r="294" spans="5:7" ht="14.25" customHeight="1">
      <c r="E294" s="168"/>
      <c r="G294" s="168"/>
    </row>
    <row r="295" spans="5:7" ht="14.25" customHeight="1">
      <c r="E295" s="168"/>
      <c r="G295" s="168"/>
    </row>
    <row r="296" spans="5:7" ht="14.25" customHeight="1">
      <c r="E296" s="168"/>
      <c r="G296" s="168"/>
    </row>
    <row r="297" spans="5:7" ht="14.25" customHeight="1">
      <c r="E297" s="168"/>
      <c r="G297" s="168"/>
    </row>
    <row r="298" spans="5:7" ht="14.25" customHeight="1">
      <c r="E298" s="168"/>
      <c r="G298" s="168"/>
    </row>
    <row r="299" spans="5:7" ht="14.25" customHeight="1">
      <c r="E299" s="168"/>
      <c r="G299" s="168"/>
    </row>
    <row r="300" spans="5:7" ht="14.25" customHeight="1">
      <c r="E300" s="168"/>
      <c r="G300" s="168"/>
    </row>
    <row r="301" spans="5:7" ht="14.25" customHeight="1">
      <c r="E301" s="168"/>
      <c r="G301" s="168"/>
    </row>
    <row r="302" spans="5:7" ht="14.25" customHeight="1">
      <c r="E302" s="168"/>
      <c r="G302" s="168"/>
    </row>
    <row r="303" spans="5:7" ht="14.25" customHeight="1">
      <c r="E303" s="168"/>
      <c r="G303" s="168"/>
    </row>
    <row r="304" spans="5:7" ht="14.25" customHeight="1">
      <c r="E304" s="168"/>
      <c r="G304" s="168"/>
    </row>
    <row r="305" spans="5:7" ht="14.25" customHeight="1">
      <c r="E305" s="168"/>
      <c r="G305" s="168"/>
    </row>
    <row r="306" spans="5:7" ht="14.25" customHeight="1">
      <c r="E306" s="168"/>
      <c r="G306" s="168"/>
    </row>
    <row r="307" spans="5:7" ht="14.25" customHeight="1">
      <c r="E307" s="168"/>
      <c r="G307" s="168"/>
    </row>
    <row r="308" spans="5:7" ht="14.25" customHeight="1">
      <c r="E308" s="168"/>
      <c r="G308" s="168"/>
    </row>
    <row r="309" spans="5:7" ht="14.25" customHeight="1">
      <c r="E309" s="168"/>
      <c r="G309" s="168"/>
    </row>
    <row r="310" spans="5:7" ht="14.25" customHeight="1">
      <c r="E310" s="168"/>
      <c r="G310" s="168"/>
    </row>
    <row r="311" spans="5:7" ht="14.25" customHeight="1">
      <c r="E311" s="168"/>
      <c r="G311" s="168"/>
    </row>
    <row r="312" spans="5:7" ht="14.25" customHeight="1">
      <c r="E312" s="168"/>
      <c r="G312" s="168"/>
    </row>
    <row r="313" spans="5:7" ht="14.25" customHeight="1">
      <c r="E313" s="168"/>
      <c r="G313" s="168"/>
    </row>
    <row r="314" spans="5:7" ht="14.25" customHeight="1">
      <c r="E314" s="168"/>
      <c r="G314" s="168"/>
    </row>
    <row r="315" spans="5:7" ht="14.25" customHeight="1">
      <c r="E315" s="168"/>
      <c r="G315" s="168"/>
    </row>
    <row r="316" spans="5:7" ht="14.25" customHeight="1">
      <c r="E316" s="168"/>
      <c r="G316" s="168"/>
    </row>
    <row r="317" spans="5:7" ht="14.25" customHeight="1">
      <c r="E317" s="168"/>
      <c r="G317" s="168"/>
    </row>
    <row r="318" spans="5:7" ht="14.25" customHeight="1">
      <c r="E318" s="168"/>
      <c r="G318" s="168"/>
    </row>
    <row r="319" spans="5:7" ht="14.25" customHeight="1">
      <c r="E319" s="168"/>
      <c r="G319" s="168"/>
    </row>
    <row r="320" spans="5:7" ht="14.25" customHeight="1">
      <c r="E320" s="168"/>
      <c r="G320" s="168"/>
    </row>
    <row r="321" spans="5:7" ht="14.25" customHeight="1">
      <c r="E321" s="168"/>
      <c r="G321" s="168"/>
    </row>
    <row r="322" spans="5:7" ht="14.25" customHeight="1">
      <c r="E322" s="168"/>
      <c r="G322" s="168"/>
    </row>
    <row r="323" spans="5:7" ht="14.25" customHeight="1">
      <c r="E323" s="168"/>
      <c r="G323" s="168"/>
    </row>
    <row r="324" spans="5:7" ht="14.25" customHeight="1">
      <c r="E324" s="168"/>
      <c r="G324" s="168"/>
    </row>
    <row r="325" spans="5:7" ht="14.25" customHeight="1">
      <c r="E325" s="168"/>
      <c r="G325" s="168"/>
    </row>
    <row r="326" spans="5:7" ht="14.25" customHeight="1">
      <c r="E326" s="168"/>
      <c r="G326" s="168"/>
    </row>
    <row r="327" spans="5:7" ht="14.25" customHeight="1">
      <c r="E327" s="168"/>
      <c r="G327" s="168"/>
    </row>
    <row r="328" spans="5:7" ht="14.25" customHeight="1">
      <c r="E328" s="168"/>
      <c r="G328" s="168"/>
    </row>
    <row r="329" spans="5:7" ht="14.25" customHeight="1">
      <c r="E329" s="168"/>
      <c r="G329" s="168"/>
    </row>
    <row r="330" spans="5:7" ht="14.25" customHeight="1">
      <c r="E330" s="168"/>
      <c r="G330" s="168"/>
    </row>
    <row r="331" spans="5:7" ht="14.25" customHeight="1">
      <c r="E331" s="168"/>
      <c r="G331" s="168"/>
    </row>
    <row r="332" spans="5:7" ht="14.25" customHeight="1">
      <c r="E332" s="168"/>
      <c r="G332" s="168"/>
    </row>
    <row r="333" spans="5:7" ht="14.25" customHeight="1">
      <c r="E333" s="168"/>
      <c r="G333" s="168"/>
    </row>
    <row r="334" spans="5:7" ht="14.25" customHeight="1">
      <c r="E334" s="168"/>
      <c r="G334" s="168"/>
    </row>
    <row r="335" spans="5:7" ht="14.25" customHeight="1">
      <c r="E335" s="168"/>
      <c r="G335" s="168"/>
    </row>
    <row r="336" spans="5:7" ht="14.25" customHeight="1">
      <c r="E336" s="168"/>
      <c r="G336" s="168"/>
    </row>
    <row r="337" spans="5:7" ht="14.25" customHeight="1">
      <c r="E337" s="168"/>
      <c r="G337" s="168"/>
    </row>
    <row r="338" spans="5:7" ht="14.25" customHeight="1">
      <c r="E338" s="168"/>
      <c r="G338" s="168"/>
    </row>
    <row r="339" spans="5:7" ht="14.25" customHeight="1">
      <c r="E339" s="168"/>
      <c r="G339" s="168"/>
    </row>
    <row r="340" spans="5:7" ht="14.25" customHeight="1">
      <c r="E340" s="168"/>
      <c r="G340" s="168"/>
    </row>
    <row r="341" spans="5:7" ht="14.25" customHeight="1">
      <c r="E341" s="168"/>
      <c r="G341" s="168"/>
    </row>
    <row r="342" spans="5:7" ht="14.25" customHeight="1">
      <c r="E342" s="168"/>
      <c r="G342" s="168"/>
    </row>
    <row r="343" spans="5:7" ht="14.25" customHeight="1">
      <c r="E343" s="168"/>
      <c r="G343" s="168"/>
    </row>
    <row r="344" spans="5:7" ht="14.25" customHeight="1">
      <c r="E344" s="168"/>
      <c r="G344" s="168"/>
    </row>
    <row r="345" spans="5:7" ht="14.25" customHeight="1">
      <c r="E345" s="168"/>
      <c r="G345" s="168"/>
    </row>
    <row r="346" spans="5:7" ht="14.25" customHeight="1">
      <c r="E346" s="168"/>
      <c r="G346" s="168"/>
    </row>
    <row r="347" spans="5:7" ht="14.25" customHeight="1">
      <c r="E347" s="168"/>
      <c r="G347" s="168"/>
    </row>
    <row r="348" spans="5:7" ht="14.25" customHeight="1">
      <c r="E348" s="168"/>
      <c r="G348" s="168"/>
    </row>
    <row r="349" spans="5:7" ht="14.25" customHeight="1">
      <c r="E349" s="168"/>
      <c r="G349" s="168"/>
    </row>
    <row r="350" spans="5:7" ht="14.25" customHeight="1">
      <c r="E350" s="168"/>
      <c r="G350" s="168"/>
    </row>
    <row r="351" spans="5:7" ht="14.25" customHeight="1">
      <c r="E351" s="168"/>
      <c r="G351" s="168"/>
    </row>
    <row r="352" spans="5:7" ht="14.25" customHeight="1">
      <c r="E352" s="168"/>
      <c r="G352" s="168"/>
    </row>
    <row r="353" spans="5:7" ht="14.25" customHeight="1">
      <c r="E353" s="168"/>
      <c r="G353" s="168"/>
    </row>
    <row r="354" spans="5:7" ht="14.25" customHeight="1">
      <c r="E354" s="168"/>
      <c r="G354" s="168"/>
    </row>
    <row r="355" spans="5:7" ht="14.25" customHeight="1">
      <c r="E355" s="168"/>
      <c r="G355" s="168"/>
    </row>
    <row r="356" spans="5:7" ht="14.25" customHeight="1">
      <c r="E356" s="168"/>
      <c r="G356" s="168"/>
    </row>
    <row r="357" spans="5:7" ht="14.25" customHeight="1">
      <c r="E357" s="168"/>
      <c r="G357" s="168"/>
    </row>
    <row r="358" spans="5:7" ht="14.25" customHeight="1">
      <c r="E358" s="168"/>
      <c r="G358" s="168"/>
    </row>
    <row r="359" spans="5:7" ht="14.25" customHeight="1">
      <c r="E359" s="168"/>
      <c r="G359" s="168"/>
    </row>
    <row r="360" spans="5:7" ht="14.25" customHeight="1">
      <c r="E360" s="168"/>
      <c r="G360" s="168"/>
    </row>
    <row r="361" spans="5:7" ht="14.25" customHeight="1">
      <c r="E361" s="168"/>
      <c r="G361" s="168"/>
    </row>
    <row r="362" spans="5:7" ht="14.25" customHeight="1">
      <c r="E362" s="168"/>
      <c r="G362" s="168"/>
    </row>
    <row r="363" spans="5:7" ht="14.25" customHeight="1">
      <c r="E363" s="168"/>
      <c r="G363" s="168"/>
    </row>
    <row r="364" spans="5:7" ht="14.25" customHeight="1">
      <c r="E364" s="168"/>
      <c r="G364" s="168"/>
    </row>
    <row r="365" spans="5:7" ht="14.25" customHeight="1">
      <c r="E365" s="168"/>
      <c r="G365" s="168"/>
    </row>
    <row r="366" spans="5:7" ht="14.25" customHeight="1">
      <c r="E366" s="168"/>
      <c r="G366" s="168"/>
    </row>
    <row r="367" spans="5:7" ht="14.25" customHeight="1">
      <c r="E367" s="168"/>
      <c r="G367" s="168"/>
    </row>
    <row r="368" spans="5:7" ht="14.25" customHeight="1">
      <c r="E368" s="168"/>
      <c r="G368" s="168"/>
    </row>
    <row r="369" spans="5:7" ht="14.25" customHeight="1">
      <c r="E369" s="168"/>
      <c r="G369" s="168"/>
    </row>
    <row r="370" spans="5:7" ht="14.25" customHeight="1">
      <c r="E370" s="168"/>
      <c r="G370" s="168"/>
    </row>
    <row r="371" spans="5:7" ht="14.25" customHeight="1">
      <c r="E371" s="168"/>
      <c r="G371" s="168"/>
    </row>
    <row r="372" spans="5:7" ht="14.25" customHeight="1">
      <c r="E372" s="168"/>
      <c r="G372" s="168"/>
    </row>
    <row r="373" spans="5:7" ht="14.25" customHeight="1">
      <c r="E373" s="168"/>
      <c r="G373" s="168"/>
    </row>
    <row r="374" spans="5:7" ht="14.25" customHeight="1">
      <c r="E374" s="168"/>
      <c r="G374" s="168"/>
    </row>
    <row r="375" spans="5:7" ht="14.25" customHeight="1">
      <c r="E375" s="168"/>
      <c r="G375" s="168"/>
    </row>
    <row r="376" spans="5:7" ht="14.25" customHeight="1">
      <c r="E376" s="168"/>
      <c r="G376" s="168"/>
    </row>
    <row r="377" spans="5:7" ht="14.25" customHeight="1">
      <c r="E377" s="168"/>
      <c r="G377" s="168"/>
    </row>
    <row r="378" spans="5:7" ht="14.25" customHeight="1">
      <c r="E378" s="168"/>
      <c r="G378" s="168"/>
    </row>
    <row r="379" spans="5:7" ht="14.25" customHeight="1">
      <c r="E379" s="168"/>
      <c r="G379" s="168"/>
    </row>
    <row r="380" spans="5:7" ht="14.25" customHeight="1">
      <c r="E380" s="168"/>
      <c r="G380" s="168"/>
    </row>
    <row r="381" spans="5:7" ht="14.25" customHeight="1">
      <c r="E381" s="168"/>
      <c r="G381" s="168"/>
    </row>
    <row r="382" spans="5:7" ht="14.25" customHeight="1">
      <c r="E382" s="168"/>
      <c r="G382" s="168"/>
    </row>
    <row r="383" spans="5:7" ht="14.25" customHeight="1">
      <c r="E383" s="168"/>
      <c r="G383" s="168"/>
    </row>
    <row r="384" spans="5:7" ht="14.25" customHeight="1">
      <c r="E384" s="168"/>
      <c r="G384" s="168"/>
    </row>
    <row r="385" spans="5:7" ht="14.25" customHeight="1">
      <c r="E385" s="168"/>
      <c r="G385" s="168"/>
    </row>
    <row r="386" spans="5:7" ht="14.25" customHeight="1">
      <c r="E386" s="168"/>
      <c r="G386" s="168"/>
    </row>
    <row r="387" spans="5:7" ht="14.25" customHeight="1">
      <c r="E387" s="168"/>
      <c r="G387" s="168"/>
    </row>
    <row r="388" spans="5:7" ht="14.25" customHeight="1">
      <c r="E388" s="168"/>
      <c r="G388" s="168"/>
    </row>
    <row r="389" spans="5:7" ht="14.25" customHeight="1">
      <c r="E389" s="168"/>
      <c r="G389" s="168"/>
    </row>
    <row r="390" spans="5:7" ht="14.25" customHeight="1">
      <c r="E390" s="168"/>
      <c r="G390" s="168"/>
    </row>
    <row r="391" spans="5:7" ht="14.25" customHeight="1">
      <c r="E391" s="168"/>
      <c r="G391" s="168"/>
    </row>
    <row r="392" spans="5:7" ht="14.25" customHeight="1">
      <c r="E392" s="168"/>
      <c r="G392" s="168"/>
    </row>
    <row r="393" spans="5:7" ht="14.25" customHeight="1">
      <c r="E393" s="168"/>
      <c r="G393" s="168"/>
    </row>
    <row r="394" spans="5:7" ht="14.25" customHeight="1">
      <c r="E394" s="168"/>
      <c r="G394" s="168"/>
    </row>
    <row r="395" spans="5:7" ht="14.25" customHeight="1">
      <c r="E395" s="168"/>
      <c r="G395" s="168"/>
    </row>
    <row r="396" spans="5:7" ht="14.25" customHeight="1">
      <c r="E396" s="168"/>
      <c r="G396" s="168"/>
    </row>
    <row r="397" spans="5:7" ht="14.25" customHeight="1">
      <c r="E397" s="168"/>
      <c r="G397" s="168"/>
    </row>
    <row r="398" spans="5:7" ht="14.25" customHeight="1">
      <c r="E398" s="168"/>
      <c r="G398" s="168"/>
    </row>
    <row r="399" spans="5:7" ht="14.25" customHeight="1">
      <c r="E399" s="168"/>
      <c r="G399" s="168"/>
    </row>
    <row r="400" spans="5:7" ht="14.25" customHeight="1">
      <c r="E400" s="168"/>
      <c r="G400" s="168"/>
    </row>
    <row r="401" spans="5:7" ht="14.25" customHeight="1">
      <c r="E401" s="168"/>
      <c r="G401" s="168"/>
    </row>
    <row r="402" spans="5:7" ht="14.25" customHeight="1">
      <c r="E402" s="168"/>
      <c r="G402" s="168"/>
    </row>
    <row r="403" spans="5:7" ht="14.25" customHeight="1">
      <c r="E403" s="168"/>
      <c r="G403" s="168"/>
    </row>
    <row r="404" spans="5:7" ht="14.25" customHeight="1">
      <c r="E404" s="168"/>
      <c r="G404" s="168"/>
    </row>
    <row r="405" spans="5:7" ht="14.25" customHeight="1">
      <c r="E405" s="168"/>
      <c r="G405" s="168"/>
    </row>
    <row r="406" spans="5:7" ht="14.25" customHeight="1">
      <c r="E406" s="168"/>
      <c r="G406" s="168"/>
    </row>
    <row r="407" spans="5:7" ht="14.25" customHeight="1">
      <c r="E407" s="168"/>
      <c r="G407" s="168"/>
    </row>
    <row r="408" spans="5:7" ht="14.25" customHeight="1">
      <c r="E408" s="168"/>
      <c r="G408" s="168"/>
    </row>
    <row r="409" spans="5:7" ht="14.25" customHeight="1">
      <c r="E409" s="168"/>
      <c r="G409" s="168"/>
    </row>
    <row r="410" spans="5:7" ht="14.25" customHeight="1">
      <c r="E410" s="168"/>
      <c r="G410" s="168"/>
    </row>
    <row r="411" spans="5:7" ht="14.25" customHeight="1">
      <c r="E411" s="168"/>
      <c r="G411" s="168"/>
    </row>
    <row r="412" spans="5:7" ht="14.25" customHeight="1">
      <c r="E412" s="168"/>
      <c r="G412" s="168"/>
    </row>
    <row r="413" spans="5:7" ht="14.25" customHeight="1">
      <c r="E413" s="168"/>
      <c r="G413" s="168"/>
    </row>
    <row r="414" spans="5:7" ht="14.25" customHeight="1">
      <c r="E414" s="168"/>
      <c r="G414" s="168"/>
    </row>
    <row r="415" spans="5:7" ht="14.25" customHeight="1">
      <c r="E415" s="168"/>
      <c r="G415" s="168"/>
    </row>
    <row r="416" spans="5:7" ht="14.25" customHeight="1">
      <c r="E416" s="168"/>
      <c r="G416" s="168"/>
    </row>
    <row r="417" spans="5:7" ht="14.25" customHeight="1">
      <c r="E417" s="168"/>
      <c r="G417" s="168"/>
    </row>
    <row r="418" spans="5:7" ht="14.25" customHeight="1">
      <c r="E418" s="168"/>
      <c r="G418" s="168"/>
    </row>
    <row r="419" spans="5:7" ht="14.25" customHeight="1">
      <c r="E419" s="168"/>
      <c r="G419" s="168"/>
    </row>
    <row r="420" spans="5:7" ht="14.25" customHeight="1">
      <c r="E420" s="168"/>
      <c r="G420" s="168"/>
    </row>
    <row r="421" spans="5:7" ht="14.25" customHeight="1">
      <c r="E421" s="168"/>
      <c r="G421" s="168"/>
    </row>
    <row r="422" spans="5:7" ht="14.25" customHeight="1">
      <c r="E422" s="168"/>
      <c r="G422" s="168"/>
    </row>
    <row r="423" spans="5:7" ht="14.25" customHeight="1">
      <c r="E423" s="168"/>
      <c r="G423" s="168"/>
    </row>
    <row r="424" spans="5:7" ht="14.25" customHeight="1">
      <c r="E424" s="168"/>
      <c r="G424" s="168"/>
    </row>
    <row r="425" spans="5:7" ht="14.25" customHeight="1">
      <c r="E425" s="168"/>
      <c r="G425" s="168"/>
    </row>
    <row r="426" spans="5:7" ht="14.25" customHeight="1">
      <c r="E426" s="168"/>
      <c r="G426" s="168"/>
    </row>
    <row r="427" spans="5:7" ht="14.25" customHeight="1">
      <c r="E427" s="168"/>
      <c r="G427" s="168"/>
    </row>
    <row r="428" spans="5:7" ht="14.25" customHeight="1">
      <c r="E428" s="168"/>
      <c r="G428" s="168"/>
    </row>
    <row r="429" spans="5:7" ht="14.25" customHeight="1">
      <c r="E429" s="168"/>
      <c r="G429" s="168"/>
    </row>
    <row r="430" spans="5:7" ht="14.25" customHeight="1">
      <c r="E430" s="168"/>
      <c r="G430" s="168"/>
    </row>
    <row r="431" spans="5:7" ht="14.25" customHeight="1">
      <c r="E431" s="168"/>
      <c r="G431" s="168"/>
    </row>
    <row r="432" spans="5:7" ht="14.25" customHeight="1">
      <c r="E432" s="168"/>
      <c r="G432" s="168"/>
    </row>
    <row r="433" spans="5:7" ht="14.25" customHeight="1">
      <c r="E433" s="168"/>
      <c r="G433" s="168"/>
    </row>
    <row r="434" spans="5:7" ht="14.25" customHeight="1">
      <c r="E434" s="168"/>
      <c r="G434" s="168"/>
    </row>
    <row r="435" spans="5:7" ht="14.25" customHeight="1">
      <c r="E435" s="168"/>
      <c r="G435" s="168"/>
    </row>
    <row r="436" spans="5:7" ht="14.25" customHeight="1">
      <c r="E436" s="168"/>
      <c r="G436" s="168"/>
    </row>
    <row r="437" spans="5:7" ht="14.25" customHeight="1">
      <c r="E437" s="168"/>
      <c r="G437" s="168"/>
    </row>
    <row r="438" spans="5:7" ht="14.25" customHeight="1">
      <c r="E438" s="168"/>
      <c r="G438" s="168"/>
    </row>
    <row r="439" spans="5:7" ht="14.25" customHeight="1">
      <c r="E439" s="168"/>
      <c r="G439" s="168"/>
    </row>
    <row r="440" spans="5:7" ht="14.25" customHeight="1">
      <c r="E440" s="168"/>
      <c r="G440" s="168"/>
    </row>
    <row r="441" spans="5:7" ht="14.25" customHeight="1">
      <c r="E441" s="168"/>
      <c r="G441" s="168"/>
    </row>
    <row r="442" spans="5:7" ht="14.25" customHeight="1">
      <c r="E442" s="168"/>
      <c r="G442" s="168"/>
    </row>
    <row r="443" spans="5:7" ht="14.25" customHeight="1">
      <c r="E443" s="168"/>
      <c r="G443" s="168"/>
    </row>
    <row r="444" spans="5:7" ht="14.25" customHeight="1">
      <c r="E444" s="168"/>
      <c r="G444" s="168"/>
    </row>
    <row r="445" spans="5:7" ht="14.25" customHeight="1">
      <c r="E445" s="168"/>
      <c r="G445" s="168"/>
    </row>
    <row r="446" spans="5:7" ht="14.25" customHeight="1">
      <c r="E446" s="168"/>
      <c r="G446" s="168"/>
    </row>
    <row r="447" spans="5:7" ht="14.25" customHeight="1">
      <c r="E447" s="168"/>
      <c r="G447" s="168"/>
    </row>
    <row r="448" spans="5:7" ht="14.25" customHeight="1">
      <c r="E448" s="168"/>
      <c r="G448" s="168"/>
    </row>
    <row r="449" spans="5:7" ht="14.25" customHeight="1">
      <c r="E449" s="168"/>
      <c r="G449" s="168"/>
    </row>
    <row r="450" spans="5:7" ht="14.25" customHeight="1">
      <c r="E450" s="168"/>
      <c r="G450" s="168"/>
    </row>
    <row r="451" spans="5:7" ht="14.25" customHeight="1">
      <c r="E451" s="168"/>
      <c r="G451" s="168"/>
    </row>
    <row r="452" spans="5:7" ht="14.25" customHeight="1">
      <c r="E452" s="168"/>
      <c r="G452" s="168"/>
    </row>
    <row r="453" spans="5:7" ht="14.25" customHeight="1">
      <c r="E453" s="168"/>
      <c r="G453" s="168"/>
    </row>
    <row r="454" spans="5:7" ht="14.25" customHeight="1">
      <c r="E454" s="168"/>
      <c r="G454" s="168"/>
    </row>
    <row r="455" spans="5:7" ht="14.25" customHeight="1">
      <c r="E455" s="168"/>
      <c r="G455" s="168"/>
    </row>
    <row r="456" spans="5:7" ht="14.25" customHeight="1">
      <c r="E456" s="168"/>
      <c r="G456" s="168"/>
    </row>
    <row r="457" spans="5:7" ht="14.25" customHeight="1">
      <c r="E457" s="168"/>
      <c r="G457" s="168"/>
    </row>
    <row r="458" spans="5:7" ht="14.25" customHeight="1">
      <c r="E458" s="168"/>
      <c r="G458" s="168"/>
    </row>
    <row r="459" spans="5:7" ht="14.25" customHeight="1">
      <c r="E459" s="168"/>
      <c r="G459" s="168"/>
    </row>
    <row r="460" spans="5:7" ht="14.25" customHeight="1">
      <c r="E460" s="168"/>
      <c r="G460" s="168"/>
    </row>
    <row r="461" spans="5:7" ht="14.25" customHeight="1">
      <c r="E461" s="168"/>
      <c r="G461" s="168"/>
    </row>
    <row r="462" spans="5:7" ht="14.25" customHeight="1">
      <c r="E462" s="168"/>
      <c r="G462" s="168"/>
    </row>
    <row r="463" spans="5:7" ht="14.25" customHeight="1">
      <c r="E463" s="168"/>
      <c r="G463" s="168"/>
    </row>
    <row r="464" spans="5:7" ht="14.25" customHeight="1">
      <c r="E464" s="168"/>
      <c r="G464" s="168"/>
    </row>
    <row r="465" spans="5:7" ht="14.25" customHeight="1">
      <c r="E465" s="168"/>
      <c r="G465" s="168"/>
    </row>
    <row r="466" spans="5:7" ht="14.25" customHeight="1">
      <c r="E466" s="168"/>
      <c r="G466" s="168"/>
    </row>
    <row r="467" spans="5:7" ht="14.25" customHeight="1">
      <c r="E467" s="168"/>
      <c r="G467" s="168"/>
    </row>
    <row r="468" spans="5:7" ht="14.25" customHeight="1">
      <c r="E468" s="168"/>
      <c r="G468" s="168"/>
    </row>
    <row r="469" spans="5:7" ht="14.25" customHeight="1">
      <c r="E469" s="168"/>
      <c r="G469" s="168"/>
    </row>
    <row r="470" spans="5:7" ht="14.25" customHeight="1">
      <c r="E470" s="168"/>
      <c r="G470" s="168"/>
    </row>
    <row r="471" spans="5:7" ht="14.25" customHeight="1">
      <c r="E471" s="168"/>
      <c r="G471" s="168"/>
    </row>
    <row r="472" spans="5:7" ht="14.25" customHeight="1">
      <c r="E472" s="168"/>
      <c r="G472" s="168"/>
    </row>
    <row r="473" spans="5:7" ht="14.25" customHeight="1">
      <c r="E473" s="168"/>
      <c r="G473" s="168"/>
    </row>
    <row r="474" spans="5:7" ht="14.25" customHeight="1">
      <c r="E474" s="168"/>
      <c r="G474" s="168"/>
    </row>
    <row r="475" spans="5:7" ht="14.25" customHeight="1">
      <c r="E475" s="168"/>
      <c r="G475" s="168"/>
    </row>
    <row r="476" spans="5:7" ht="14.25" customHeight="1">
      <c r="E476" s="168"/>
      <c r="G476" s="168"/>
    </row>
    <row r="477" spans="5:7" ht="14.25" customHeight="1">
      <c r="E477" s="168"/>
      <c r="G477" s="168"/>
    </row>
    <row r="478" spans="5:7" ht="14.25" customHeight="1">
      <c r="E478" s="168"/>
      <c r="G478" s="168"/>
    </row>
    <row r="479" spans="5:7" ht="14.25" customHeight="1">
      <c r="E479" s="168"/>
      <c r="G479" s="168"/>
    </row>
    <row r="480" spans="5:7" ht="14.25" customHeight="1">
      <c r="E480" s="168"/>
      <c r="G480" s="168"/>
    </row>
    <row r="481" spans="5:7" ht="14.25" customHeight="1">
      <c r="E481" s="168"/>
      <c r="G481" s="168"/>
    </row>
    <row r="482" spans="5:7" ht="14.25" customHeight="1">
      <c r="E482" s="168"/>
      <c r="G482" s="168"/>
    </row>
    <row r="483" spans="5:7" ht="14.25" customHeight="1">
      <c r="E483" s="168"/>
      <c r="G483" s="168"/>
    </row>
    <row r="484" spans="5:7" ht="14.25" customHeight="1">
      <c r="E484" s="168"/>
      <c r="G484" s="168"/>
    </row>
    <row r="485" spans="5:7" ht="14.25" customHeight="1">
      <c r="E485" s="168"/>
      <c r="G485" s="168"/>
    </row>
    <row r="486" spans="5:7" ht="14.25" customHeight="1">
      <c r="E486" s="168"/>
      <c r="G486" s="168"/>
    </row>
    <row r="487" spans="5:7" ht="14.25" customHeight="1">
      <c r="E487" s="168"/>
      <c r="G487" s="168"/>
    </row>
    <row r="488" spans="5:7" ht="14.25" customHeight="1">
      <c r="E488" s="168"/>
      <c r="G488" s="168"/>
    </row>
    <row r="489" spans="5:7" ht="14.25" customHeight="1">
      <c r="E489" s="168"/>
      <c r="G489" s="168"/>
    </row>
    <row r="490" spans="5:7" ht="14.25" customHeight="1">
      <c r="E490" s="168"/>
      <c r="G490" s="168"/>
    </row>
    <row r="491" spans="5:7" ht="14.25" customHeight="1">
      <c r="E491" s="168"/>
      <c r="G491" s="168"/>
    </row>
    <row r="492" spans="5:7" ht="14.25" customHeight="1">
      <c r="E492" s="168"/>
      <c r="G492" s="168"/>
    </row>
    <row r="493" spans="5:7" ht="14.25" customHeight="1">
      <c r="E493" s="168"/>
      <c r="G493" s="168"/>
    </row>
    <row r="494" spans="5:7" ht="14.25" customHeight="1">
      <c r="E494" s="168"/>
      <c r="G494" s="168"/>
    </row>
    <row r="495" spans="5:7" ht="14.25" customHeight="1">
      <c r="E495" s="168"/>
      <c r="G495" s="168"/>
    </row>
    <row r="496" spans="5:7" ht="14.25" customHeight="1">
      <c r="E496" s="168"/>
      <c r="G496" s="168"/>
    </row>
    <row r="497" spans="5:7" ht="14.25" customHeight="1">
      <c r="E497" s="168"/>
      <c r="G497" s="168"/>
    </row>
    <row r="498" spans="5:7" ht="14.25" customHeight="1">
      <c r="E498" s="168"/>
      <c r="G498" s="168"/>
    </row>
    <row r="499" spans="5:7" ht="14.25" customHeight="1">
      <c r="E499" s="168"/>
      <c r="G499" s="168"/>
    </row>
    <row r="500" spans="5:7" ht="14.25" customHeight="1">
      <c r="E500" s="168"/>
      <c r="G500" s="168"/>
    </row>
    <row r="501" spans="5:7" ht="14.25" customHeight="1">
      <c r="E501" s="168"/>
      <c r="G501" s="168"/>
    </row>
    <row r="502" spans="5:7" ht="14.25" customHeight="1">
      <c r="E502" s="168"/>
      <c r="G502" s="168"/>
    </row>
    <row r="503" spans="5:7" ht="14.25" customHeight="1">
      <c r="E503" s="168"/>
      <c r="G503" s="168"/>
    </row>
    <row r="504" spans="5:7" ht="14.25" customHeight="1">
      <c r="E504" s="168"/>
      <c r="G504" s="168"/>
    </row>
    <row r="505" spans="5:7" ht="14.25" customHeight="1">
      <c r="E505" s="168"/>
      <c r="G505" s="168"/>
    </row>
    <row r="506" spans="5:7" ht="14.25" customHeight="1">
      <c r="E506" s="168"/>
      <c r="G506" s="168"/>
    </row>
    <row r="507" spans="5:7" ht="14.25" customHeight="1">
      <c r="E507" s="168"/>
      <c r="G507" s="168"/>
    </row>
    <row r="508" spans="5:7" ht="14.25" customHeight="1">
      <c r="E508" s="168"/>
      <c r="G508" s="168"/>
    </row>
    <row r="509" spans="5:7" ht="14.25" customHeight="1">
      <c r="E509" s="168"/>
      <c r="G509" s="168"/>
    </row>
    <row r="510" spans="5:7" ht="14.25" customHeight="1">
      <c r="E510" s="168"/>
      <c r="G510" s="168"/>
    </row>
    <row r="511" spans="5:7" ht="14.25" customHeight="1">
      <c r="E511" s="168"/>
      <c r="G511" s="168"/>
    </row>
    <row r="512" spans="5:7" ht="14.25" customHeight="1">
      <c r="E512" s="168"/>
      <c r="G512" s="168"/>
    </row>
    <row r="513" spans="5:7" ht="14.25" customHeight="1">
      <c r="E513" s="168"/>
      <c r="G513" s="168"/>
    </row>
    <row r="514" spans="5:7" ht="14.25" customHeight="1">
      <c r="E514" s="168"/>
      <c r="G514" s="168"/>
    </row>
    <row r="515" spans="5:7" ht="14.25" customHeight="1">
      <c r="E515" s="168"/>
      <c r="G515" s="168"/>
    </row>
    <row r="516" spans="5:7" ht="14.25" customHeight="1">
      <c r="E516" s="168"/>
      <c r="G516" s="168"/>
    </row>
    <row r="517" spans="5:7" ht="14.25" customHeight="1">
      <c r="E517" s="168"/>
      <c r="G517" s="168"/>
    </row>
    <row r="518" spans="5:7" ht="14.25" customHeight="1">
      <c r="E518" s="168"/>
      <c r="G518" s="168"/>
    </row>
    <row r="519" spans="5:7" ht="14.25" customHeight="1">
      <c r="E519" s="168"/>
      <c r="G519" s="168"/>
    </row>
    <row r="520" spans="5:7" ht="14.25" customHeight="1">
      <c r="E520" s="168"/>
      <c r="G520" s="168"/>
    </row>
    <row r="521" spans="5:7" ht="14.25" customHeight="1">
      <c r="E521" s="168"/>
      <c r="G521" s="168"/>
    </row>
    <row r="522" spans="5:7" ht="14.25" customHeight="1">
      <c r="E522" s="168"/>
      <c r="G522" s="168"/>
    </row>
    <row r="523" spans="5:7" ht="14.25" customHeight="1">
      <c r="E523" s="168"/>
      <c r="G523" s="168"/>
    </row>
    <row r="524" spans="5:7" ht="14.25" customHeight="1">
      <c r="E524" s="168"/>
      <c r="G524" s="168"/>
    </row>
    <row r="525" spans="5:7" ht="14.25" customHeight="1">
      <c r="E525" s="168"/>
      <c r="G525" s="168"/>
    </row>
    <row r="526" spans="5:7" ht="14.25" customHeight="1">
      <c r="E526" s="168"/>
      <c r="G526" s="168"/>
    </row>
    <row r="527" spans="5:7" ht="14.25" customHeight="1">
      <c r="E527" s="168"/>
      <c r="G527" s="168"/>
    </row>
    <row r="528" spans="5:7" ht="14.25" customHeight="1">
      <c r="E528" s="168"/>
      <c r="G528" s="168"/>
    </row>
    <row r="529" spans="5:7" ht="14.25" customHeight="1">
      <c r="E529" s="168"/>
      <c r="G529" s="168"/>
    </row>
    <row r="530" spans="5:7" ht="14.25" customHeight="1">
      <c r="E530" s="168"/>
      <c r="G530" s="168"/>
    </row>
    <row r="531" spans="5:7" ht="14.25" customHeight="1">
      <c r="E531" s="168"/>
      <c r="G531" s="168"/>
    </row>
    <row r="532" spans="5:7" ht="14.25" customHeight="1">
      <c r="E532" s="168"/>
      <c r="G532" s="168"/>
    </row>
    <row r="533" spans="5:7" ht="14.25" customHeight="1">
      <c r="E533" s="168"/>
      <c r="G533" s="168"/>
    </row>
    <row r="534" spans="5:7" ht="14.25" customHeight="1">
      <c r="E534" s="168"/>
      <c r="G534" s="168"/>
    </row>
    <row r="535" spans="5:7" ht="14.25" customHeight="1">
      <c r="E535" s="168"/>
      <c r="G535" s="168"/>
    </row>
    <row r="536" spans="5:7" ht="14.25" customHeight="1">
      <c r="E536" s="168"/>
      <c r="G536" s="168"/>
    </row>
    <row r="537" spans="5:7" ht="14.25" customHeight="1">
      <c r="E537" s="168"/>
      <c r="G537" s="168"/>
    </row>
    <row r="538" spans="5:7" ht="14.25" customHeight="1">
      <c r="E538" s="168"/>
      <c r="G538" s="168"/>
    </row>
    <row r="539" spans="5:7" ht="14.25" customHeight="1">
      <c r="E539" s="168"/>
      <c r="G539" s="168"/>
    </row>
    <row r="540" spans="5:7" ht="14.25" customHeight="1">
      <c r="E540" s="168"/>
      <c r="G540" s="168"/>
    </row>
    <row r="541" spans="5:7" ht="14.25" customHeight="1">
      <c r="E541" s="168"/>
      <c r="G541" s="168"/>
    </row>
    <row r="542" spans="5:7" ht="14.25" customHeight="1">
      <c r="E542" s="168"/>
      <c r="G542" s="168"/>
    </row>
    <row r="543" spans="5:7" ht="14.25" customHeight="1">
      <c r="E543" s="168"/>
      <c r="G543" s="168"/>
    </row>
    <row r="544" spans="5:7" ht="14.25" customHeight="1">
      <c r="E544" s="168"/>
      <c r="G544" s="168"/>
    </row>
    <row r="545" spans="5:7" ht="14.25" customHeight="1">
      <c r="E545" s="168"/>
      <c r="G545" s="168"/>
    </row>
    <row r="546" spans="5:7" ht="14.25" customHeight="1">
      <c r="E546" s="168"/>
      <c r="G546" s="168"/>
    </row>
    <row r="547" spans="5:7" ht="14.25" customHeight="1">
      <c r="E547" s="168"/>
      <c r="G547" s="168"/>
    </row>
    <row r="548" spans="5:7" ht="14.25" customHeight="1">
      <c r="E548" s="168"/>
      <c r="G548" s="168"/>
    </row>
    <row r="549" spans="5:7" ht="14.25" customHeight="1">
      <c r="E549" s="168"/>
      <c r="G549" s="168"/>
    </row>
    <row r="550" spans="5:7" ht="14.25" customHeight="1">
      <c r="E550" s="168"/>
      <c r="G550" s="168"/>
    </row>
    <row r="551" spans="5:7" ht="14.25" customHeight="1">
      <c r="E551" s="168"/>
      <c r="G551" s="168"/>
    </row>
    <row r="552" spans="5:7" ht="14.25" customHeight="1">
      <c r="E552" s="168"/>
      <c r="G552" s="168"/>
    </row>
    <row r="553" spans="5:7" ht="14.25" customHeight="1">
      <c r="E553" s="168"/>
      <c r="G553" s="168"/>
    </row>
    <row r="554" spans="5:7" ht="14.25" customHeight="1">
      <c r="E554" s="168"/>
      <c r="G554" s="168"/>
    </row>
    <row r="555" spans="5:7" ht="14.25" customHeight="1">
      <c r="E555" s="168"/>
      <c r="G555" s="168"/>
    </row>
    <row r="556" spans="5:7" ht="14.25" customHeight="1">
      <c r="E556" s="168"/>
      <c r="G556" s="168"/>
    </row>
    <row r="557" spans="5:7" ht="14.25" customHeight="1">
      <c r="E557" s="168"/>
      <c r="G557" s="168"/>
    </row>
    <row r="558" spans="5:7" ht="14.25" customHeight="1">
      <c r="E558" s="168"/>
      <c r="G558" s="168"/>
    </row>
    <row r="559" spans="5:7" ht="14.25" customHeight="1">
      <c r="E559" s="168"/>
      <c r="G559" s="168"/>
    </row>
    <row r="560" spans="5:7" ht="14.25" customHeight="1">
      <c r="E560" s="168"/>
      <c r="G560" s="168"/>
    </row>
    <row r="561" spans="5:7" ht="14.25" customHeight="1">
      <c r="E561" s="168"/>
      <c r="G561" s="168"/>
    </row>
    <row r="562" spans="5:7" ht="14.25" customHeight="1">
      <c r="E562" s="168"/>
      <c r="G562" s="168"/>
    </row>
    <row r="563" spans="5:7" ht="14.25" customHeight="1">
      <c r="E563" s="168"/>
      <c r="G563" s="168"/>
    </row>
    <row r="564" spans="5:7" ht="14.25" customHeight="1">
      <c r="E564" s="168"/>
      <c r="G564" s="168"/>
    </row>
    <row r="565" spans="5:7" ht="14.25" customHeight="1">
      <c r="E565" s="168"/>
      <c r="G565" s="168"/>
    </row>
    <row r="566" spans="5:7" ht="14.25" customHeight="1">
      <c r="E566" s="168"/>
      <c r="G566" s="168"/>
    </row>
    <row r="567" spans="5:7" ht="14.25" customHeight="1">
      <c r="E567" s="168"/>
      <c r="G567" s="168"/>
    </row>
    <row r="568" spans="5:7" ht="14.25" customHeight="1">
      <c r="E568" s="168"/>
      <c r="G568" s="168"/>
    </row>
    <row r="569" spans="5:7" ht="14.25" customHeight="1">
      <c r="E569" s="168"/>
      <c r="G569" s="168"/>
    </row>
    <row r="570" spans="5:7" ht="14.25" customHeight="1">
      <c r="E570" s="168"/>
      <c r="G570" s="168"/>
    </row>
    <row r="571" spans="5:7" ht="14.25" customHeight="1">
      <c r="E571" s="168"/>
      <c r="G571" s="168"/>
    </row>
    <row r="572" spans="5:7" ht="14.25" customHeight="1">
      <c r="E572" s="168"/>
      <c r="G572" s="168"/>
    </row>
    <row r="573" spans="5:7" ht="14.25" customHeight="1">
      <c r="E573" s="168"/>
      <c r="G573" s="168"/>
    </row>
    <row r="574" spans="5:7" ht="14.25" customHeight="1">
      <c r="E574" s="168"/>
      <c r="G574" s="168"/>
    </row>
    <row r="575" spans="5:7" ht="14.25" customHeight="1">
      <c r="E575" s="168"/>
      <c r="G575" s="168"/>
    </row>
    <row r="576" spans="5:7" ht="14.25" customHeight="1">
      <c r="E576" s="168"/>
      <c r="G576" s="168"/>
    </row>
    <row r="577" spans="5:7" ht="14.25" customHeight="1">
      <c r="E577" s="168"/>
      <c r="G577" s="168"/>
    </row>
    <row r="578" spans="5:7" ht="14.25" customHeight="1">
      <c r="E578" s="168"/>
      <c r="G578" s="168"/>
    </row>
    <row r="579" spans="5:7" ht="14.25" customHeight="1">
      <c r="E579" s="168"/>
      <c r="G579" s="168"/>
    </row>
    <row r="580" spans="5:7" ht="14.25" customHeight="1">
      <c r="E580" s="168"/>
      <c r="G580" s="168"/>
    </row>
    <row r="581" spans="5:7" ht="14.25" customHeight="1">
      <c r="E581" s="168"/>
      <c r="G581" s="168"/>
    </row>
    <row r="582" spans="5:7" ht="14.25" customHeight="1">
      <c r="E582" s="168"/>
      <c r="G582" s="168"/>
    </row>
    <row r="583" spans="5:7" ht="14.25" customHeight="1">
      <c r="E583" s="168"/>
      <c r="G583" s="168"/>
    </row>
    <row r="584" spans="5:7" ht="14.25" customHeight="1">
      <c r="E584" s="168"/>
      <c r="G584" s="168"/>
    </row>
    <row r="585" spans="5:7" ht="14.25" customHeight="1">
      <c r="E585" s="168"/>
      <c r="G585" s="168"/>
    </row>
    <row r="586" spans="5:7" ht="14.25" customHeight="1">
      <c r="E586" s="168"/>
      <c r="G586" s="168"/>
    </row>
    <row r="587" spans="5:7" ht="14.25" customHeight="1">
      <c r="E587" s="168"/>
      <c r="G587" s="168"/>
    </row>
    <row r="588" spans="5:7" ht="14.25" customHeight="1">
      <c r="E588" s="168"/>
      <c r="G588" s="168"/>
    </row>
    <row r="589" spans="5:7" ht="14.25" customHeight="1">
      <c r="E589" s="168"/>
      <c r="G589" s="168"/>
    </row>
    <row r="590" spans="5:7" ht="14.25" customHeight="1">
      <c r="E590" s="168"/>
      <c r="G590" s="168"/>
    </row>
    <row r="591" spans="5:7" ht="14.25" customHeight="1">
      <c r="E591" s="168"/>
      <c r="G591" s="168"/>
    </row>
    <row r="592" spans="5:7" ht="14.25" customHeight="1">
      <c r="E592" s="168"/>
      <c r="G592" s="168"/>
    </row>
    <row r="593" spans="5:7" ht="14.25" customHeight="1">
      <c r="E593" s="168"/>
      <c r="G593" s="168"/>
    </row>
    <row r="594" spans="5:7" ht="14.25" customHeight="1">
      <c r="E594" s="168"/>
      <c r="G594" s="168"/>
    </row>
    <row r="595" spans="5:7" ht="14.25" customHeight="1">
      <c r="E595" s="168"/>
      <c r="G595" s="168"/>
    </row>
    <row r="596" spans="5:7" ht="14.25" customHeight="1">
      <c r="E596" s="168"/>
      <c r="G596" s="168"/>
    </row>
    <row r="597" spans="5:7" ht="14.25" customHeight="1">
      <c r="E597" s="168"/>
      <c r="G597" s="168"/>
    </row>
    <row r="598" spans="5:7" ht="14.25" customHeight="1">
      <c r="E598" s="168"/>
      <c r="G598" s="168"/>
    </row>
    <row r="599" spans="5:7" ht="14.25" customHeight="1">
      <c r="E599" s="168"/>
      <c r="G599" s="168"/>
    </row>
    <row r="600" spans="5:7" ht="14.25" customHeight="1">
      <c r="E600" s="168"/>
      <c r="G600" s="168"/>
    </row>
    <row r="601" spans="5:7" ht="14.25" customHeight="1">
      <c r="E601" s="168"/>
      <c r="G601" s="168"/>
    </row>
    <row r="602" spans="5:7" ht="14.25" customHeight="1">
      <c r="E602" s="168"/>
      <c r="G602" s="168"/>
    </row>
    <row r="603" spans="5:7" ht="14.25" customHeight="1">
      <c r="E603" s="168"/>
      <c r="G603" s="168"/>
    </row>
    <row r="604" spans="5:7" ht="14.25" customHeight="1">
      <c r="E604" s="168"/>
      <c r="G604" s="168"/>
    </row>
    <row r="605" spans="5:7" ht="14.25" customHeight="1">
      <c r="E605" s="168"/>
      <c r="G605" s="168"/>
    </row>
    <row r="606" spans="5:7" ht="14.25" customHeight="1">
      <c r="E606" s="168"/>
      <c r="G606" s="168"/>
    </row>
    <row r="607" spans="5:7" ht="14.25" customHeight="1">
      <c r="E607" s="168"/>
      <c r="G607" s="168"/>
    </row>
    <row r="608" spans="5:7" ht="14.25" customHeight="1">
      <c r="E608" s="168"/>
      <c r="G608" s="168"/>
    </row>
    <row r="609" spans="5:7" ht="14.25" customHeight="1">
      <c r="E609" s="168"/>
      <c r="G609" s="168"/>
    </row>
    <row r="610" spans="5:7" ht="14.25" customHeight="1">
      <c r="E610" s="168"/>
      <c r="G610" s="168"/>
    </row>
    <row r="611" spans="5:7" ht="14.25" customHeight="1">
      <c r="E611" s="168"/>
      <c r="G611" s="168"/>
    </row>
    <row r="612" spans="5:7" ht="14.25" customHeight="1">
      <c r="E612" s="168"/>
      <c r="G612" s="168"/>
    </row>
    <row r="613" spans="5:7" ht="14.25" customHeight="1">
      <c r="E613" s="168"/>
      <c r="G613" s="168"/>
    </row>
    <row r="614" spans="5:7" ht="14.25" customHeight="1">
      <c r="E614" s="168"/>
      <c r="G614" s="168"/>
    </row>
    <row r="615" spans="5:7" ht="14.25" customHeight="1">
      <c r="E615" s="168"/>
      <c r="G615" s="168"/>
    </row>
    <row r="616" spans="5:7" ht="14.25" customHeight="1">
      <c r="E616" s="168"/>
      <c r="G616" s="168"/>
    </row>
    <row r="617" spans="5:7" ht="14.25" customHeight="1">
      <c r="E617" s="168"/>
      <c r="G617" s="168"/>
    </row>
    <row r="618" spans="5:7" ht="14.25" customHeight="1">
      <c r="E618" s="168"/>
      <c r="G618" s="168"/>
    </row>
    <row r="619" spans="5:7" ht="14.25" customHeight="1">
      <c r="E619" s="168"/>
      <c r="G619" s="168"/>
    </row>
    <row r="620" spans="5:7" ht="14.25" customHeight="1">
      <c r="E620" s="168"/>
      <c r="G620" s="168"/>
    </row>
    <row r="621" spans="5:7" ht="14.25" customHeight="1">
      <c r="E621" s="168"/>
      <c r="G621" s="168"/>
    </row>
    <row r="622" spans="5:7" ht="14.25" customHeight="1">
      <c r="E622" s="168"/>
      <c r="G622" s="168"/>
    </row>
    <row r="623" spans="5:7" ht="14.25" customHeight="1">
      <c r="E623" s="168"/>
      <c r="G623" s="168"/>
    </row>
    <row r="624" spans="5:7" ht="14.25" customHeight="1">
      <c r="E624" s="168"/>
      <c r="G624" s="168"/>
    </row>
    <row r="625" spans="5:7" ht="14.25" customHeight="1">
      <c r="E625" s="168"/>
      <c r="G625" s="168"/>
    </row>
    <row r="626" spans="5:7" ht="14.25" customHeight="1">
      <c r="E626" s="168"/>
      <c r="G626" s="168"/>
    </row>
    <row r="627" spans="5:7" ht="14.25" customHeight="1">
      <c r="E627" s="168"/>
      <c r="G627" s="168"/>
    </row>
    <row r="628" spans="5:7" ht="14.25" customHeight="1">
      <c r="E628" s="168"/>
      <c r="G628" s="168"/>
    </row>
    <row r="629" spans="5:7" ht="14.25" customHeight="1">
      <c r="E629" s="168"/>
      <c r="G629" s="168"/>
    </row>
    <row r="630" spans="5:7" ht="14.25" customHeight="1">
      <c r="E630" s="168"/>
      <c r="G630" s="168"/>
    </row>
    <row r="631" spans="5:7" ht="14.25" customHeight="1">
      <c r="E631" s="168"/>
      <c r="G631" s="168"/>
    </row>
    <row r="632" spans="5:7" ht="14.25" customHeight="1">
      <c r="E632" s="168"/>
      <c r="G632" s="168"/>
    </row>
    <row r="633" spans="5:7" ht="14.25" customHeight="1">
      <c r="E633" s="168"/>
      <c r="G633" s="168"/>
    </row>
    <row r="634" spans="5:7" ht="14.25" customHeight="1">
      <c r="E634" s="168"/>
      <c r="G634" s="168"/>
    </row>
    <row r="635" spans="5:7" ht="14.25" customHeight="1">
      <c r="E635" s="168"/>
      <c r="G635" s="168"/>
    </row>
    <row r="636" spans="5:7" ht="14.25" customHeight="1">
      <c r="E636" s="168"/>
      <c r="G636" s="168"/>
    </row>
    <row r="637" spans="5:7" ht="14.25" customHeight="1">
      <c r="E637" s="168"/>
      <c r="G637" s="168"/>
    </row>
    <row r="638" spans="5:7" ht="14.25" customHeight="1">
      <c r="E638" s="168"/>
      <c r="G638" s="168"/>
    </row>
    <row r="639" spans="5:7" ht="14.25" customHeight="1">
      <c r="E639" s="168"/>
      <c r="G639" s="168"/>
    </row>
    <row r="640" spans="5:7" ht="14.25" customHeight="1">
      <c r="E640" s="168"/>
      <c r="G640" s="168"/>
    </row>
    <row r="641" spans="5:7" ht="14.25" customHeight="1">
      <c r="E641" s="168"/>
      <c r="G641" s="168"/>
    </row>
    <row r="642" spans="5:7" ht="14.25" customHeight="1">
      <c r="E642" s="168"/>
      <c r="G642" s="168"/>
    </row>
    <row r="643" spans="5:7" ht="14.25" customHeight="1">
      <c r="E643" s="168"/>
      <c r="G643" s="168"/>
    </row>
    <row r="644" spans="5:7" ht="14.25" customHeight="1">
      <c r="E644" s="168"/>
      <c r="G644" s="168"/>
    </row>
    <row r="645" spans="5:7" ht="14.25" customHeight="1">
      <c r="E645" s="168"/>
      <c r="G645" s="168"/>
    </row>
    <row r="646" spans="5:7" ht="14.25" customHeight="1">
      <c r="E646" s="168"/>
      <c r="G646" s="168"/>
    </row>
    <row r="647" spans="5:7" ht="14.25" customHeight="1">
      <c r="E647" s="168"/>
      <c r="G647" s="168"/>
    </row>
    <row r="648" spans="5:7" ht="14.25" customHeight="1">
      <c r="E648" s="168"/>
      <c r="G648" s="168"/>
    </row>
    <row r="649" spans="5:7" ht="14.25" customHeight="1">
      <c r="E649" s="168"/>
      <c r="G649" s="168"/>
    </row>
    <row r="650" spans="5:7" ht="14.25" customHeight="1">
      <c r="E650" s="168"/>
      <c r="G650" s="168"/>
    </row>
    <row r="651" spans="5:7" ht="14.25" customHeight="1">
      <c r="E651" s="168"/>
      <c r="G651" s="168"/>
    </row>
    <row r="652" spans="5:7" ht="14.25" customHeight="1">
      <c r="E652" s="168"/>
      <c r="G652" s="168"/>
    </row>
    <row r="653" spans="5:7" ht="14.25" customHeight="1">
      <c r="E653" s="168"/>
      <c r="G653" s="168"/>
    </row>
    <row r="654" spans="5:7" ht="14.25" customHeight="1">
      <c r="E654" s="168"/>
      <c r="G654" s="168"/>
    </row>
    <row r="655" spans="5:7" ht="14.25" customHeight="1">
      <c r="E655" s="168"/>
      <c r="G655" s="168"/>
    </row>
    <row r="656" spans="5:7" ht="14.25" customHeight="1">
      <c r="E656" s="168"/>
      <c r="G656" s="168"/>
    </row>
    <row r="657" spans="5:7" ht="14.25" customHeight="1">
      <c r="E657" s="168"/>
      <c r="G657" s="168"/>
    </row>
    <row r="658" spans="5:7" ht="14.25" customHeight="1">
      <c r="E658" s="168"/>
      <c r="G658" s="168"/>
    </row>
    <row r="659" spans="5:7" ht="14.25" customHeight="1">
      <c r="E659" s="168"/>
      <c r="G659" s="168"/>
    </row>
    <row r="660" spans="5:7" ht="14.25" customHeight="1">
      <c r="E660" s="168"/>
      <c r="G660" s="168"/>
    </row>
    <row r="661" spans="5:7" ht="14.25" customHeight="1">
      <c r="E661" s="168"/>
      <c r="G661" s="168"/>
    </row>
    <row r="662" spans="5:7" ht="14.25" customHeight="1">
      <c r="E662" s="168"/>
      <c r="G662" s="168"/>
    </row>
    <row r="663" spans="5:7" ht="14.25" customHeight="1">
      <c r="E663" s="168"/>
      <c r="G663" s="168"/>
    </row>
    <row r="664" spans="5:7" ht="14.25" customHeight="1">
      <c r="E664" s="168"/>
      <c r="G664" s="168"/>
    </row>
    <row r="665" spans="5:7" ht="14.25" customHeight="1">
      <c r="E665" s="168"/>
      <c r="G665" s="168"/>
    </row>
    <row r="666" spans="5:7" ht="14.25" customHeight="1">
      <c r="E666" s="168"/>
      <c r="G666" s="168"/>
    </row>
    <row r="667" spans="5:7" ht="14.25" customHeight="1">
      <c r="E667" s="168"/>
      <c r="G667" s="168"/>
    </row>
    <row r="668" spans="5:7" ht="14.25" customHeight="1">
      <c r="E668" s="168"/>
      <c r="G668" s="168"/>
    </row>
    <row r="669" spans="5:7" ht="14.25" customHeight="1">
      <c r="E669" s="168"/>
      <c r="G669" s="168"/>
    </row>
    <row r="670" spans="5:7" ht="14.25" customHeight="1">
      <c r="E670" s="168"/>
      <c r="G670" s="168"/>
    </row>
    <row r="671" spans="5:7" ht="14.25" customHeight="1">
      <c r="E671" s="168"/>
      <c r="G671" s="168"/>
    </row>
    <row r="672" spans="5:7" ht="14.25" customHeight="1">
      <c r="E672" s="168"/>
      <c r="G672" s="168"/>
    </row>
    <row r="673" spans="5:7" ht="14.25" customHeight="1">
      <c r="E673" s="168"/>
      <c r="G673" s="168"/>
    </row>
    <row r="674" spans="5:7" ht="14.25" customHeight="1">
      <c r="E674" s="168"/>
      <c r="G674" s="168"/>
    </row>
    <row r="675" spans="5:7" ht="14.25" customHeight="1">
      <c r="E675" s="168"/>
      <c r="G675" s="168"/>
    </row>
    <row r="676" spans="5:7" ht="14.25" customHeight="1">
      <c r="E676" s="168"/>
      <c r="G676" s="168"/>
    </row>
    <row r="677" spans="5:7" ht="14.25" customHeight="1">
      <c r="E677" s="168"/>
      <c r="G677" s="168"/>
    </row>
    <row r="678" spans="5:7" ht="14.25" customHeight="1">
      <c r="E678" s="168"/>
      <c r="G678" s="168"/>
    </row>
    <row r="679" spans="5:7" ht="14.25" customHeight="1">
      <c r="E679" s="168"/>
      <c r="G679" s="168"/>
    </row>
    <row r="680" spans="5:7" ht="14.25" customHeight="1">
      <c r="E680" s="168"/>
      <c r="G680" s="168"/>
    </row>
    <row r="681" spans="5:7" ht="14.25" customHeight="1">
      <c r="E681" s="168"/>
      <c r="G681" s="168"/>
    </row>
    <row r="682" spans="5:7" ht="14.25" customHeight="1">
      <c r="E682" s="168"/>
      <c r="G682" s="168"/>
    </row>
    <row r="683" spans="5:7" ht="14.25" customHeight="1">
      <c r="E683" s="168"/>
      <c r="G683" s="168"/>
    </row>
    <row r="684" spans="5:7" ht="14.25" customHeight="1">
      <c r="E684" s="168"/>
      <c r="G684" s="168"/>
    </row>
    <row r="685" spans="5:7" ht="14.25" customHeight="1">
      <c r="E685" s="168"/>
      <c r="G685" s="168"/>
    </row>
    <row r="686" spans="5:7" ht="14.25" customHeight="1">
      <c r="E686" s="168"/>
      <c r="G686" s="168"/>
    </row>
    <row r="687" spans="5:7" ht="14.25" customHeight="1">
      <c r="E687" s="168"/>
      <c r="G687" s="168"/>
    </row>
    <row r="688" spans="5:7" ht="14.25" customHeight="1">
      <c r="E688" s="168"/>
      <c r="G688" s="168"/>
    </row>
    <row r="689" spans="5:7" ht="14.25" customHeight="1">
      <c r="E689" s="168"/>
      <c r="G689" s="168"/>
    </row>
    <row r="690" spans="5:7" ht="14.25" customHeight="1">
      <c r="E690" s="168"/>
      <c r="G690" s="168"/>
    </row>
    <row r="691" spans="5:7" ht="14.25" customHeight="1">
      <c r="E691" s="168"/>
      <c r="G691" s="168"/>
    </row>
    <row r="692" spans="5:7" ht="14.25" customHeight="1">
      <c r="E692" s="168"/>
      <c r="G692" s="168"/>
    </row>
    <row r="693" spans="5:7" ht="14.25" customHeight="1">
      <c r="E693" s="168"/>
      <c r="G693" s="168"/>
    </row>
    <row r="694" spans="5:7" ht="14.25" customHeight="1">
      <c r="E694" s="168"/>
      <c r="G694" s="168"/>
    </row>
    <row r="695" spans="5:7" ht="14.25" customHeight="1">
      <c r="E695" s="168"/>
      <c r="G695" s="168"/>
    </row>
    <row r="696" spans="5:7" ht="14.25" customHeight="1">
      <c r="E696" s="168"/>
      <c r="G696" s="168"/>
    </row>
    <row r="697" spans="5:7" ht="14.25" customHeight="1">
      <c r="E697" s="168"/>
      <c r="G697" s="168"/>
    </row>
    <row r="698" spans="5:7" ht="14.25" customHeight="1">
      <c r="E698" s="168"/>
      <c r="G698" s="168"/>
    </row>
    <row r="699" spans="5:7" ht="14.25" customHeight="1">
      <c r="E699" s="168"/>
      <c r="G699" s="168"/>
    </row>
    <row r="700" spans="5:7" ht="14.25" customHeight="1">
      <c r="E700" s="168"/>
      <c r="G700" s="168"/>
    </row>
    <row r="701" spans="5:7" ht="14.25" customHeight="1">
      <c r="E701" s="168"/>
      <c r="G701" s="168"/>
    </row>
    <row r="702" spans="5:7" ht="14.25" customHeight="1">
      <c r="E702" s="168"/>
      <c r="G702" s="168"/>
    </row>
    <row r="703" spans="5:7" ht="14.25" customHeight="1">
      <c r="E703" s="168"/>
      <c r="G703" s="168"/>
    </row>
    <row r="704" spans="5:7" ht="14.25" customHeight="1">
      <c r="E704" s="168"/>
      <c r="G704" s="168"/>
    </row>
    <row r="705" spans="5:7" ht="14.25" customHeight="1">
      <c r="E705" s="168"/>
      <c r="G705" s="168"/>
    </row>
    <row r="706" spans="5:7" ht="14.25" customHeight="1">
      <c r="E706" s="168"/>
      <c r="G706" s="168"/>
    </row>
    <row r="707" spans="5:7" ht="14.25" customHeight="1">
      <c r="E707" s="168"/>
      <c r="G707" s="168"/>
    </row>
    <row r="708" spans="5:7" ht="14.25" customHeight="1">
      <c r="E708" s="168"/>
      <c r="G708" s="168"/>
    </row>
    <row r="709" spans="5:7" ht="14.25" customHeight="1">
      <c r="E709" s="168"/>
      <c r="G709" s="168"/>
    </row>
    <row r="710" spans="5:7" ht="14.25" customHeight="1">
      <c r="E710" s="168"/>
      <c r="G710" s="168"/>
    </row>
    <row r="711" spans="5:7" ht="14.25" customHeight="1">
      <c r="E711" s="168"/>
      <c r="G711" s="168"/>
    </row>
    <row r="712" spans="5:7" ht="14.25" customHeight="1">
      <c r="E712" s="168"/>
      <c r="G712" s="168"/>
    </row>
    <row r="713" spans="5:7" ht="14.25" customHeight="1">
      <c r="E713" s="168"/>
      <c r="G713" s="168"/>
    </row>
    <row r="714" spans="5:7" ht="14.25" customHeight="1">
      <c r="E714" s="168"/>
      <c r="G714" s="168"/>
    </row>
    <row r="715" spans="5:7" ht="14.25" customHeight="1">
      <c r="E715" s="168"/>
      <c r="G715" s="168"/>
    </row>
    <row r="716" spans="5:7" ht="14.25" customHeight="1">
      <c r="E716" s="168"/>
      <c r="G716" s="168"/>
    </row>
    <row r="717" spans="5:7" ht="14.25" customHeight="1">
      <c r="E717" s="168"/>
      <c r="G717" s="168"/>
    </row>
    <row r="718" spans="5:7" ht="14.25" customHeight="1">
      <c r="E718" s="168"/>
      <c r="G718" s="168"/>
    </row>
    <row r="719" spans="5:7" ht="14.25" customHeight="1">
      <c r="E719" s="168"/>
      <c r="G719" s="168"/>
    </row>
    <row r="720" spans="5:7" ht="14.25" customHeight="1">
      <c r="E720" s="168"/>
      <c r="G720" s="168"/>
    </row>
    <row r="721" spans="5:7" ht="14.25" customHeight="1">
      <c r="E721" s="168"/>
      <c r="G721" s="168"/>
    </row>
    <row r="722" spans="5:7" ht="14.25" customHeight="1">
      <c r="E722" s="168"/>
      <c r="G722" s="168"/>
    </row>
    <row r="723" spans="5:7" ht="14.25" customHeight="1">
      <c r="E723" s="168"/>
      <c r="G723" s="168"/>
    </row>
    <row r="724" spans="5:7" ht="14.25" customHeight="1">
      <c r="E724" s="168"/>
      <c r="G724" s="168"/>
    </row>
    <row r="725" spans="5:7" ht="14.25" customHeight="1">
      <c r="E725" s="168"/>
      <c r="G725" s="168"/>
    </row>
    <row r="726" spans="5:7" ht="14.25" customHeight="1">
      <c r="E726" s="168"/>
      <c r="G726" s="168"/>
    </row>
    <row r="727" spans="5:7" ht="14.25" customHeight="1">
      <c r="E727" s="168"/>
      <c r="G727" s="168"/>
    </row>
    <row r="728" spans="5:7" ht="14.25" customHeight="1">
      <c r="E728" s="168"/>
      <c r="G728" s="168"/>
    </row>
    <row r="729" spans="5:7" ht="14.25" customHeight="1">
      <c r="E729" s="168"/>
      <c r="G729" s="168"/>
    </row>
    <row r="730" spans="5:7" ht="14.25" customHeight="1">
      <c r="E730" s="168"/>
      <c r="G730" s="168"/>
    </row>
    <row r="731" spans="5:7" ht="14.25" customHeight="1">
      <c r="E731" s="168"/>
      <c r="G731" s="168"/>
    </row>
    <row r="732" spans="5:7" ht="14.25" customHeight="1">
      <c r="E732" s="168"/>
      <c r="G732" s="168"/>
    </row>
    <row r="733" spans="5:7" ht="14.25" customHeight="1">
      <c r="E733" s="168"/>
      <c r="G733" s="168"/>
    </row>
    <row r="734" spans="5:7" ht="14.25" customHeight="1">
      <c r="E734" s="168"/>
      <c r="G734" s="168"/>
    </row>
    <row r="735" spans="5:7" ht="14.25" customHeight="1">
      <c r="E735" s="168"/>
      <c r="G735" s="168"/>
    </row>
    <row r="736" spans="5:7" ht="14.25" customHeight="1">
      <c r="E736" s="168"/>
      <c r="G736" s="168"/>
    </row>
    <row r="737" spans="5:7" ht="14.25" customHeight="1">
      <c r="E737" s="168"/>
      <c r="G737" s="168"/>
    </row>
    <row r="738" spans="5:7" ht="14.25" customHeight="1">
      <c r="E738" s="168"/>
      <c r="G738" s="168"/>
    </row>
    <row r="739" spans="5:7" ht="14.25" customHeight="1">
      <c r="E739" s="168"/>
      <c r="G739" s="168"/>
    </row>
    <row r="740" spans="5:7" ht="14.25" customHeight="1">
      <c r="E740" s="168"/>
      <c r="G740" s="168"/>
    </row>
    <row r="741" spans="5:7" ht="14.25" customHeight="1">
      <c r="E741" s="168"/>
      <c r="G741" s="168"/>
    </row>
    <row r="742" spans="5:7" ht="14.25" customHeight="1">
      <c r="E742" s="168"/>
      <c r="G742" s="168"/>
    </row>
    <row r="743" spans="5:7" ht="14.25" customHeight="1">
      <c r="E743" s="168"/>
      <c r="G743" s="168"/>
    </row>
    <row r="744" spans="5:7" ht="14.25" customHeight="1">
      <c r="E744" s="168"/>
      <c r="G744" s="168"/>
    </row>
    <row r="745" spans="5:7" ht="14.25" customHeight="1">
      <c r="E745" s="168"/>
      <c r="G745" s="168"/>
    </row>
    <row r="746" spans="5:7" ht="14.25" customHeight="1">
      <c r="E746" s="168"/>
      <c r="G746" s="168"/>
    </row>
    <row r="747" spans="5:7" ht="14.25" customHeight="1">
      <c r="E747" s="168"/>
      <c r="G747" s="168"/>
    </row>
    <row r="748" spans="5:7" ht="14.25" customHeight="1">
      <c r="E748" s="168"/>
      <c r="G748" s="168"/>
    </row>
    <row r="749" spans="5:7" ht="14.25" customHeight="1">
      <c r="E749" s="168"/>
      <c r="G749" s="168"/>
    </row>
    <row r="750" spans="5:7" ht="14.25" customHeight="1">
      <c r="E750" s="168"/>
      <c r="G750" s="168"/>
    </row>
    <row r="751" spans="5:7" ht="14.25" customHeight="1">
      <c r="E751" s="168"/>
      <c r="G751" s="168"/>
    </row>
    <row r="752" spans="5:7" ht="14.25" customHeight="1">
      <c r="E752" s="168"/>
      <c r="G752" s="168"/>
    </row>
    <row r="753" spans="5:7" ht="14.25" customHeight="1">
      <c r="E753" s="168"/>
      <c r="G753" s="168"/>
    </row>
    <row r="754" spans="5:7" ht="14.25" customHeight="1">
      <c r="E754" s="168"/>
      <c r="G754" s="168"/>
    </row>
    <row r="755" spans="5:7" ht="14.25" customHeight="1">
      <c r="E755" s="168"/>
      <c r="G755" s="168"/>
    </row>
    <row r="756" spans="5:7" ht="14.25" customHeight="1">
      <c r="E756" s="168"/>
      <c r="G756" s="168"/>
    </row>
    <row r="757" spans="5:7" ht="14.25" customHeight="1">
      <c r="E757" s="168"/>
      <c r="G757" s="168"/>
    </row>
    <row r="758" spans="5:7" ht="14.25" customHeight="1">
      <c r="E758" s="168"/>
      <c r="G758" s="168"/>
    </row>
    <row r="759" spans="5:7" ht="14.25" customHeight="1">
      <c r="E759" s="168"/>
      <c r="G759" s="168"/>
    </row>
    <row r="760" spans="5:7" ht="14.25" customHeight="1">
      <c r="E760" s="168"/>
      <c r="G760" s="168"/>
    </row>
    <row r="761" spans="5:7" ht="14.25" customHeight="1">
      <c r="E761" s="168"/>
      <c r="G761" s="168"/>
    </row>
    <row r="762" spans="5:7" ht="14.25" customHeight="1">
      <c r="E762" s="168"/>
      <c r="G762" s="168"/>
    </row>
    <row r="763" spans="5:7" ht="14.25" customHeight="1">
      <c r="E763" s="168"/>
      <c r="G763" s="168"/>
    </row>
    <row r="764" spans="5:7" ht="14.25" customHeight="1">
      <c r="E764" s="168"/>
      <c r="G764" s="168"/>
    </row>
    <row r="765" spans="5:7" ht="14.25" customHeight="1">
      <c r="E765" s="168"/>
      <c r="G765" s="168"/>
    </row>
    <row r="766" spans="5:7" ht="14.25" customHeight="1">
      <c r="E766" s="168"/>
      <c r="G766" s="168"/>
    </row>
    <row r="767" spans="5:7" ht="14.25" customHeight="1">
      <c r="E767" s="168"/>
      <c r="G767" s="168"/>
    </row>
    <row r="768" spans="5:7" ht="14.25" customHeight="1">
      <c r="E768" s="168"/>
      <c r="G768" s="168"/>
    </row>
    <row r="769" spans="5:7" ht="14.25" customHeight="1">
      <c r="E769" s="168"/>
      <c r="G769" s="168"/>
    </row>
    <row r="770" spans="5:7" ht="14.25" customHeight="1">
      <c r="E770" s="168"/>
      <c r="G770" s="168"/>
    </row>
    <row r="771" spans="5:7" ht="14.25" customHeight="1">
      <c r="E771" s="168"/>
      <c r="G771" s="168"/>
    </row>
    <row r="772" spans="5:7" ht="14.25" customHeight="1">
      <c r="E772" s="168"/>
      <c r="G772" s="168"/>
    </row>
    <row r="773" spans="5:7" ht="14.25" customHeight="1">
      <c r="E773" s="168"/>
      <c r="G773" s="168"/>
    </row>
    <row r="774" spans="5:7" ht="14.25" customHeight="1">
      <c r="E774" s="168"/>
      <c r="G774" s="168"/>
    </row>
    <row r="775" spans="5:7" ht="14.25" customHeight="1">
      <c r="E775" s="168"/>
      <c r="G775" s="168"/>
    </row>
    <row r="776" spans="5:7" ht="14.25" customHeight="1">
      <c r="E776" s="168"/>
      <c r="G776" s="168"/>
    </row>
    <row r="777" spans="5:7" ht="14.25" customHeight="1">
      <c r="E777" s="168"/>
      <c r="G777" s="168"/>
    </row>
    <row r="778" spans="5:7" ht="14.25" customHeight="1">
      <c r="E778" s="168"/>
      <c r="G778" s="168"/>
    </row>
    <row r="779" spans="5:7" ht="14.25" customHeight="1">
      <c r="E779" s="168"/>
      <c r="G779" s="168"/>
    </row>
    <row r="780" spans="5:7" ht="14.25" customHeight="1">
      <c r="E780" s="168"/>
      <c r="G780" s="168"/>
    </row>
    <row r="781" spans="5:7" ht="14.25" customHeight="1">
      <c r="E781" s="168"/>
      <c r="G781" s="168"/>
    </row>
    <row r="782" spans="5:7" ht="14.25" customHeight="1">
      <c r="E782" s="168"/>
      <c r="G782" s="168"/>
    </row>
    <row r="783" spans="5:7" ht="14.25" customHeight="1">
      <c r="E783" s="168"/>
      <c r="G783" s="168"/>
    </row>
    <row r="784" spans="5:7" ht="14.25" customHeight="1">
      <c r="E784" s="168"/>
      <c r="G784" s="168"/>
    </row>
    <row r="785" spans="5:7" ht="14.25" customHeight="1">
      <c r="E785" s="168"/>
      <c r="G785" s="168"/>
    </row>
    <row r="786" spans="5:7" ht="14.25" customHeight="1">
      <c r="E786" s="168"/>
      <c r="G786" s="168"/>
    </row>
    <row r="787" spans="5:7" ht="14.25" customHeight="1">
      <c r="E787" s="168"/>
      <c r="G787" s="168"/>
    </row>
    <row r="788" spans="5:7" ht="14.25" customHeight="1">
      <c r="E788" s="168"/>
      <c r="G788" s="168"/>
    </row>
    <row r="789" spans="5:7" ht="14.25" customHeight="1">
      <c r="E789" s="168"/>
      <c r="G789" s="168"/>
    </row>
    <row r="790" spans="5:7" ht="14.25" customHeight="1">
      <c r="E790" s="168"/>
      <c r="G790" s="168"/>
    </row>
    <row r="791" spans="5:7" ht="14.25" customHeight="1">
      <c r="E791" s="168"/>
      <c r="G791" s="168"/>
    </row>
    <row r="792" spans="5:7" ht="14.25" customHeight="1">
      <c r="E792" s="168"/>
      <c r="G792" s="168"/>
    </row>
    <row r="793" spans="5:7" ht="14.25" customHeight="1">
      <c r="E793" s="168"/>
      <c r="G793" s="168"/>
    </row>
    <row r="794" spans="5:7" ht="14.25" customHeight="1">
      <c r="E794" s="168"/>
      <c r="G794" s="168"/>
    </row>
    <row r="795" spans="5:7" ht="14.25" customHeight="1">
      <c r="E795" s="168"/>
      <c r="G795" s="168"/>
    </row>
    <row r="796" spans="5:7" ht="14.25" customHeight="1">
      <c r="E796" s="168"/>
      <c r="G796" s="168"/>
    </row>
    <row r="797" spans="5:7" ht="14.25" customHeight="1">
      <c r="E797" s="168"/>
      <c r="G797" s="168"/>
    </row>
    <row r="798" spans="5:7" ht="14.25" customHeight="1">
      <c r="E798" s="168"/>
      <c r="G798" s="168"/>
    </row>
    <row r="799" spans="5:7" ht="14.25" customHeight="1">
      <c r="E799" s="168"/>
      <c r="G799" s="168"/>
    </row>
    <row r="800" spans="5:7" ht="14.25" customHeight="1">
      <c r="E800" s="168"/>
      <c r="G800" s="168"/>
    </row>
    <row r="801" spans="5:7" ht="14.25" customHeight="1">
      <c r="E801" s="168"/>
      <c r="G801" s="168"/>
    </row>
    <row r="802" spans="5:7" ht="14.25" customHeight="1">
      <c r="E802" s="168"/>
      <c r="G802" s="168"/>
    </row>
    <row r="803" spans="5:7" ht="14.25" customHeight="1">
      <c r="E803" s="168"/>
      <c r="G803" s="168"/>
    </row>
    <row r="804" spans="5:7" ht="14.25" customHeight="1">
      <c r="E804" s="168"/>
      <c r="G804" s="168"/>
    </row>
    <row r="805" spans="5:7" ht="14.25" customHeight="1">
      <c r="E805" s="168"/>
      <c r="G805" s="168"/>
    </row>
    <row r="806" spans="5:7" ht="14.25" customHeight="1">
      <c r="E806" s="168"/>
      <c r="G806" s="168"/>
    </row>
    <row r="807" spans="5:7" ht="14.25" customHeight="1">
      <c r="E807" s="168"/>
      <c r="G807" s="168"/>
    </row>
    <row r="808" spans="5:7" ht="14.25" customHeight="1">
      <c r="E808" s="168"/>
      <c r="G808" s="168"/>
    </row>
    <row r="809" spans="5:7" ht="14.25" customHeight="1">
      <c r="E809" s="168"/>
      <c r="G809" s="168"/>
    </row>
    <row r="810" spans="5:7" ht="14.25" customHeight="1">
      <c r="E810" s="168"/>
      <c r="G810" s="168"/>
    </row>
    <row r="811" spans="5:7" ht="14.25" customHeight="1">
      <c r="E811" s="168"/>
      <c r="G811" s="168"/>
    </row>
    <row r="812" spans="5:7" ht="14.25" customHeight="1">
      <c r="E812" s="168"/>
      <c r="G812" s="168"/>
    </row>
    <row r="813" spans="5:7" ht="14.25" customHeight="1">
      <c r="E813" s="168"/>
      <c r="G813" s="168"/>
    </row>
    <row r="814" spans="5:7" ht="14.25" customHeight="1">
      <c r="E814" s="168"/>
      <c r="G814" s="168"/>
    </row>
    <row r="815" spans="5:7" ht="14.25" customHeight="1">
      <c r="E815" s="168"/>
      <c r="G815" s="168"/>
    </row>
    <row r="816" spans="5:7" ht="14.25" customHeight="1">
      <c r="E816" s="168"/>
      <c r="G816" s="168"/>
    </row>
    <row r="817" spans="5:7" ht="14.25" customHeight="1">
      <c r="E817" s="168"/>
      <c r="G817" s="168"/>
    </row>
    <row r="818" spans="5:7" ht="14.25" customHeight="1">
      <c r="E818" s="168"/>
      <c r="G818" s="168"/>
    </row>
    <row r="819" spans="5:7" ht="14.25" customHeight="1">
      <c r="E819" s="168"/>
      <c r="G819" s="168"/>
    </row>
    <row r="820" spans="5:7" ht="14.25" customHeight="1">
      <c r="E820" s="168"/>
      <c r="G820" s="168"/>
    </row>
    <row r="821" spans="5:7" ht="14.25" customHeight="1">
      <c r="E821" s="168"/>
      <c r="G821" s="168"/>
    </row>
    <row r="822" spans="5:7" ht="14.25" customHeight="1">
      <c r="E822" s="168"/>
      <c r="G822" s="168"/>
    </row>
    <row r="823" spans="5:7" ht="14.25" customHeight="1">
      <c r="E823" s="168"/>
      <c r="G823" s="168"/>
    </row>
    <row r="824" spans="5:7" ht="14.25" customHeight="1">
      <c r="E824" s="168"/>
      <c r="G824" s="168"/>
    </row>
    <row r="825" spans="5:7" ht="14.25" customHeight="1">
      <c r="E825" s="168"/>
      <c r="G825" s="168"/>
    </row>
    <row r="826" spans="5:7" ht="14.25" customHeight="1">
      <c r="E826" s="168"/>
      <c r="G826" s="168"/>
    </row>
    <row r="827" spans="5:7" ht="14.25" customHeight="1">
      <c r="E827" s="168"/>
      <c r="G827" s="168"/>
    </row>
    <row r="828" spans="5:7" ht="14.25" customHeight="1">
      <c r="E828" s="168"/>
      <c r="G828" s="168"/>
    </row>
    <row r="829" spans="5:7" ht="14.25" customHeight="1">
      <c r="E829" s="168"/>
      <c r="G829" s="168"/>
    </row>
    <row r="830" spans="5:7" ht="14.25" customHeight="1">
      <c r="E830" s="168"/>
      <c r="G830" s="168"/>
    </row>
    <row r="831" spans="5:7" ht="14.25" customHeight="1">
      <c r="E831" s="168"/>
      <c r="G831" s="168"/>
    </row>
    <row r="832" spans="5:7" ht="14.25" customHeight="1">
      <c r="E832" s="168"/>
      <c r="G832" s="168"/>
    </row>
    <row r="833" spans="5:7" ht="14.25" customHeight="1">
      <c r="E833" s="168"/>
      <c r="G833" s="168"/>
    </row>
    <row r="834" spans="5:7" ht="14.25" customHeight="1">
      <c r="E834" s="168"/>
      <c r="G834" s="168"/>
    </row>
    <row r="835" spans="5:7" ht="14.25" customHeight="1">
      <c r="E835" s="168"/>
      <c r="G835" s="168"/>
    </row>
    <row r="836" spans="5:7" ht="14.25" customHeight="1">
      <c r="E836" s="168"/>
      <c r="G836" s="168"/>
    </row>
    <row r="837" spans="5:7" ht="14.25" customHeight="1">
      <c r="E837" s="168"/>
      <c r="G837" s="168"/>
    </row>
    <row r="838" spans="5:7" ht="14.25" customHeight="1">
      <c r="E838" s="168"/>
      <c r="G838" s="168"/>
    </row>
    <row r="839" spans="5:7" ht="14.25" customHeight="1">
      <c r="E839" s="168"/>
      <c r="G839" s="168"/>
    </row>
    <row r="840" spans="5:7" ht="14.25" customHeight="1">
      <c r="E840" s="168"/>
      <c r="G840" s="168"/>
    </row>
    <row r="841" spans="5:7" ht="14.25" customHeight="1">
      <c r="E841" s="168"/>
      <c r="G841" s="168"/>
    </row>
    <row r="842" spans="5:7" ht="14.25" customHeight="1">
      <c r="E842" s="168"/>
      <c r="G842" s="168"/>
    </row>
    <row r="843" spans="5:7" ht="14.25" customHeight="1">
      <c r="E843" s="168"/>
      <c r="G843" s="168"/>
    </row>
    <row r="844" spans="5:7" ht="14.25" customHeight="1">
      <c r="E844" s="168"/>
      <c r="G844" s="168"/>
    </row>
    <row r="845" spans="5:7" ht="14.25" customHeight="1">
      <c r="E845" s="168"/>
      <c r="G845" s="168"/>
    </row>
    <row r="846" spans="5:7" ht="14.25" customHeight="1">
      <c r="E846" s="168"/>
      <c r="G846" s="168"/>
    </row>
    <row r="847" spans="5:7" ht="14.25" customHeight="1">
      <c r="E847" s="168"/>
      <c r="G847" s="168"/>
    </row>
    <row r="848" spans="5:7" ht="14.25" customHeight="1">
      <c r="E848" s="168"/>
      <c r="G848" s="168"/>
    </row>
    <row r="849" spans="5:7" ht="14.25" customHeight="1">
      <c r="E849" s="168"/>
      <c r="G849" s="168"/>
    </row>
    <row r="850" spans="5:7" ht="14.25" customHeight="1">
      <c r="E850" s="168"/>
      <c r="G850" s="168"/>
    </row>
    <row r="851" spans="5:7" ht="14.25" customHeight="1">
      <c r="E851" s="168"/>
      <c r="G851" s="168"/>
    </row>
    <row r="852" spans="5:7" ht="14.25" customHeight="1">
      <c r="E852" s="168"/>
      <c r="G852" s="168"/>
    </row>
    <row r="853" spans="5:7" ht="14.25" customHeight="1">
      <c r="E853" s="168"/>
      <c r="G853" s="168"/>
    </row>
    <row r="854" spans="5:7" ht="14.25" customHeight="1">
      <c r="E854" s="168"/>
      <c r="G854" s="168"/>
    </row>
    <row r="855" spans="5:7" ht="14.25" customHeight="1">
      <c r="E855" s="168"/>
      <c r="G855" s="168"/>
    </row>
    <row r="856" spans="5:7" ht="14.25" customHeight="1">
      <c r="E856" s="168"/>
      <c r="G856" s="168"/>
    </row>
    <row r="857" spans="5:7" ht="14.25" customHeight="1">
      <c r="E857" s="168"/>
      <c r="G857" s="168"/>
    </row>
    <row r="858" spans="5:7" ht="14.25" customHeight="1">
      <c r="E858" s="168"/>
      <c r="G858" s="168"/>
    </row>
    <row r="859" spans="5:7" ht="14.25" customHeight="1">
      <c r="E859" s="168"/>
      <c r="G859" s="168"/>
    </row>
    <row r="860" spans="5:7" ht="14.25" customHeight="1">
      <c r="E860" s="168"/>
      <c r="G860" s="168"/>
    </row>
    <row r="861" spans="5:7" ht="14.25" customHeight="1">
      <c r="E861" s="168"/>
      <c r="G861" s="168"/>
    </row>
    <row r="862" spans="5:7" ht="14.25" customHeight="1">
      <c r="E862" s="168"/>
      <c r="G862" s="168"/>
    </row>
    <row r="863" spans="5:7" ht="14.25" customHeight="1">
      <c r="E863" s="168"/>
      <c r="G863" s="168"/>
    </row>
    <row r="864" spans="5:7" ht="14.25" customHeight="1">
      <c r="E864" s="168"/>
      <c r="G864" s="168"/>
    </row>
    <row r="865" spans="5:7" ht="14.25" customHeight="1">
      <c r="E865" s="168"/>
      <c r="G865" s="168"/>
    </row>
    <row r="866" spans="5:7" ht="14.25" customHeight="1">
      <c r="E866" s="168"/>
      <c r="G866" s="168"/>
    </row>
    <row r="867" spans="5:7" ht="14.25" customHeight="1">
      <c r="E867" s="168"/>
      <c r="G867" s="168"/>
    </row>
    <row r="868" spans="5:7" ht="14.25" customHeight="1">
      <c r="E868" s="168"/>
      <c r="G868" s="168"/>
    </row>
    <row r="869" spans="5:7" ht="14.25" customHeight="1">
      <c r="E869" s="168"/>
      <c r="G869" s="168"/>
    </row>
    <row r="870" spans="5:7" ht="14.25" customHeight="1">
      <c r="E870" s="168"/>
      <c r="G870" s="168"/>
    </row>
    <row r="871" spans="5:7" ht="14.25" customHeight="1">
      <c r="E871" s="168"/>
      <c r="G871" s="168"/>
    </row>
    <row r="872" spans="5:7" ht="14.25" customHeight="1">
      <c r="E872" s="168"/>
      <c r="G872" s="168"/>
    </row>
    <row r="873" spans="5:7" ht="14.25" customHeight="1">
      <c r="E873" s="168"/>
      <c r="G873" s="168"/>
    </row>
    <row r="874" spans="5:7" ht="14.25" customHeight="1">
      <c r="E874" s="168"/>
      <c r="G874" s="168"/>
    </row>
    <row r="875" spans="5:7" ht="14.25" customHeight="1">
      <c r="E875" s="168"/>
      <c r="G875" s="168"/>
    </row>
    <row r="876" spans="5:7" ht="14.25" customHeight="1">
      <c r="E876" s="168"/>
      <c r="G876" s="168"/>
    </row>
    <row r="877" spans="5:7" ht="14.25" customHeight="1">
      <c r="E877" s="168"/>
      <c r="G877" s="168"/>
    </row>
    <row r="878" spans="5:7" ht="14.25" customHeight="1">
      <c r="E878" s="168"/>
      <c r="G878" s="168"/>
    </row>
    <row r="879" spans="5:7" ht="14.25" customHeight="1">
      <c r="E879" s="168"/>
      <c r="G879" s="168"/>
    </row>
    <row r="880" spans="5:7" ht="14.25" customHeight="1">
      <c r="E880" s="168"/>
      <c r="G880" s="168"/>
    </row>
    <row r="881" spans="5:7" ht="14.25" customHeight="1">
      <c r="E881" s="168"/>
      <c r="G881" s="168"/>
    </row>
    <row r="882" spans="5:7" ht="14.25" customHeight="1">
      <c r="E882" s="168"/>
      <c r="G882" s="168"/>
    </row>
    <row r="883" spans="5:7" ht="14.25" customHeight="1">
      <c r="E883" s="168"/>
      <c r="G883" s="168"/>
    </row>
    <row r="884" spans="5:7" ht="14.25" customHeight="1">
      <c r="E884" s="168"/>
      <c r="G884" s="168"/>
    </row>
    <row r="885" spans="5:7" ht="14.25" customHeight="1">
      <c r="E885" s="168"/>
      <c r="G885" s="168"/>
    </row>
    <row r="886" spans="5:7" ht="14.25" customHeight="1">
      <c r="E886" s="168"/>
      <c r="G886" s="168"/>
    </row>
    <row r="887" spans="5:7" ht="14.25" customHeight="1">
      <c r="E887" s="168"/>
      <c r="G887" s="168"/>
    </row>
    <row r="888" spans="5:7" ht="14.25" customHeight="1">
      <c r="E888" s="168"/>
      <c r="G888" s="168"/>
    </row>
    <row r="889" spans="5:7" ht="14.25" customHeight="1">
      <c r="E889" s="168"/>
      <c r="G889" s="168"/>
    </row>
    <row r="890" spans="5:7" ht="14.25" customHeight="1">
      <c r="E890" s="168"/>
      <c r="G890" s="168"/>
    </row>
    <row r="891" spans="5:7" ht="14.25" customHeight="1">
      <c r="E891" s="168"/>
      <c r="G891" s="168"/>
    </row>
    <row r="892" spans="5:7" ht="14.25" customHeight="1">
      <c r="E892" s="168"/>
      <c r="G892" s="168"/>
    </row>
    <row r="893" spans="5:7" ht="14.25" customHeight="1">
      <c r="E893" s="168"/>
      <c r="G893" s="168"/>
    </row>
    <row r="894" spans="5:7" ht="14.25" customHeight="1">
      <c r="E894" s="168"/>
      <c r="G894" s="168"/>
    </row>
    <row r="895" spans="5:7" ht="14.25" customHeight="1">
      <c r="E895" s="168"/>
      <c r="G895" s="168"/>
    </row>
    <row r="896" spans="5:7" ht="14.25" customHeight="1">
      <c r="E896" s="168"/>
      <c r="G896" s="168"/>
    </row>
    <row r="897" spans="5:7" ht="14.25" customHeight="1">
      <c r="E897" s="168"/>
      <c r="G897" s="168"/>
    </row>
    <row r="898" spans="5:7" ht="14.25" customHeight="1">
      <c r="E898" s="168"/>
      <c r="G898" s="168"/>
    </row>
    <row r="899" spans="5:7" ht="14.25" customHeight="1">
      <c r="E899" s="168"/>
      <c r="G899" s="168"/>
    </row>
    <row r="900" spans="5:7" ht="14.25" customHeight="1">
      <c r="E900" s="168"/>
      <c r="G900" s="168"/>
    </row>
    <row r="901" spans="5:7" ht="14.25" customHeight="1">
      <c r="E901" s="168"/>
      <c r="G901" s="168"/>
    </row>
    <row r="902" spans="5:7" ht="14.25" customHeight="1">
      <c r="E902" s="168"/>
      <c r="G902" s="168"/>
    </row>
    <row r="903" spans="5:7" ht="14.25" customHeight="1">
      <c r="E903" s="168"/>
      <c r="G903" s="168"/>
    </row>
    <row r="904" spans="5:7" ht="14.25" customHeight="1">
      <c r="E904" s="168"/>
      <c r="G904" s="168"/>
    </row>
    <row r="905" spans="5:7" ht="14.25" customHeight="1">
      <c r="E905" s="168"/>
      <c r="G905" s="168"/>
    </row>
    <row r="906" spans="5:7" ht="14.25" customHeight="1">
      <c r="E906" s="168"/>
      <c r="G906" s="168"/>
    </row>
    <row r="907" spans="5:7" ht="14.25" customHeight="1">
      <c r="E907" s="168"/>
      <c r="G907" s="168"/>
    </row>
    <row r="908" spans="5:7" ht="14.25" customHeight="1">
      <c r="E908" s="168"/>
      <c r="G908" s="168"/>
    </row>
    <row r="909" spans="5:7" ht="14.25" customHeight="1">
      <c r="E909" s="168"/>
      <c r="G909" s="168"/>
    </row>
    <row r="910" spans="5:7" ht="14.25" customHeight="1">
      <c r="E910" s="168"/>
      <c r="G910" s="168"/>
    </row>
    <row r="911" spans="5:7" ht="14.25" customHeight="1">
      <c r="E911" s="168"/>
      <c r="G911" s="168"/>
    </row>
    <row r="912" spans="5:7" ht="14.25" customHeight="1">
      <c r="E912" s="168"/>
      <c r="G912" s="168"/>
    </row>
    <row r="913" spans="5:7" ht="14.25" customHeight="1">
      <c r="E913" s="168"/>
      <c r="G913" s="168"/>
    </row>
    <row r="914" spans="5:7" ht="14.25" customHeight="1">
      <c r="E914" s="168"/>
      <c r="G914" s="168"/>
    </row>
    <row r="915" spans="5:7" ht="14.25" customHeight="1">
      <c r="E915" s="168"/>
      <c r="G915" s="168"/>
    </row>
    <row r="916" spans="5:7" ht="14.25" customHeight="1">
      <c r="E916" s="168"/>
      <c r="G916" s="168"/>
    </row>
    <row r="917" spans="5:7" ht="14.25" customHeight="1">
      <c r="E917" s="168"/>
      <c r="G917" s="168"/>
    </row>
    <row r="918" spans="5:7" ht="14.25" customHeight="1">
      <c r="E918" s="168"/>
      <c r="G918" s="168"/>
    </row>
    <row r="919" spans="5:7" ht="14.25" customHeight="1">
      <c r="E919" s="168"/>
      <c r="G919" s="168"/>
    </row>
    <row r="920" spans="5:7" ht="14.25" customHeight="1">
      <c r="E920" s="168"/>
      <c r="G920" s="168"/>
    </row>
    <row r="921" spans="5:7" ht="14.25" customHeight="1">
      <c r="E921" s="168"/>
      <c r="G921" s="168"/>
    </row>
    <row r="922" spans="5:7" ht="14.25" customHeight="1">
      <c r="E922" s="168"/>
      <c r="G922" s="168"/>
    </row>
    <row r="923" spans="5:7" ht="14.25" customHeight="1">
      <c r="E923" s="168"/>
      <c r="G923" s="168"/>
    </row>
    <row r="924" spans="5:7" ht="14.25" customHeight="1">
      <c r="E924" s="168"/>
      <c r="G924" s="168"/>
    </row>
    <row r="925" spans="5:7" ht="14.25" customHeight="1">
      <c r="E925" s="168"/>
      <c r="G925" s="168"/>
    </row>
    <row r="926" spans="5:7" ht="14.25" customHeight="1">
      <c r="E926" s="168"/>
      <c r="G926" s="168"/>
    </row>
    <row r="927" spans="5:7" ht="14.25" customHeight="1">
      <c r="E927" s="168"/>
      <c r="G927" s="168"/>
    </row>
    <row r="928" spans="5:7" ht="14.25" customHeight="1">
      <c r="E928" s="168"/>
      <c r="G928" s="168"/>
    </row>
    <row r="929" spans="5:7" ht="14.25" customHeight="1">
      <c r="E929" s="168"/>
      <c r="G929" s="168"/>
    </row>
    <row r="930" spans="5:7" ht="14.25" customHeight="1">
      <c r="E930" s="168"/>
      <c r="G930" s="168"/>
    </row>
    <row r="931" spans="5:7" ht="14.25" customHeight="1">
      <c r="E931" s="168"/>
      <c r="G931" s="168"/>
    </row>
    <row r="932" spans="5:7" ht="14.25" customHeight="1">
      <c r="E932" s="168"/>
      <c r="G932" s="168"/>
    </row>
    <row r="933" spans="5:7" ht="14.25" customHeight="1">
      <c r="E933" s="168"/>
      <c r="G933" s="168"/>
    </row>
    <row r="934" spans="5:7" ht="14.25" customHeight="1">
      <c r="E934" s="168"/>
      <c r="G934" s="168"/>
    </row>
    <row r="935" spans="5:7" ht="14.25" customHeight="1">
      <c r="E935" s="168"/>
      <c r="G935" s="168"/>
    </row>
    <row r="936" spans="5:7" ht="14.25" customHeight="1">
      <c r="E936" s="168"/>
      <c r="G936" s="168"/>
    </row>
    <row r="937" spans="5:7" ht="14.25" customHeight="1">
      <c r="E937" s="168"/>
      <c r="G937" s="168"/>
    </row>
    <row r="938" spans="5:7" ht="14.25" customHeight="1">
      <c r="E938" s="168"/>
      <c r="G938" s="168"/>
    </row>
    <row r="939" spans="5:7" ht="14.25" customHeight="1">
      <c r="E939" s="168"/>
      <c r="G939" s="168"/>
    </row>
    <row r="940" spans="5:7" ht="15" customHeight="1"/>
    <row r="941" spans="5:7" ht="15" customHeight="1"/>
  </sheetData>
  <mergeCells count="10">
    <mergeCell ref="B14:B15"/>
    <mergeCell ref="E14:E15"/>
    <mergeCell ref="G14:G15"/>
    <mergeCell ref="B1:G1"/>
    <mergeCell ref="B4:B5"/>
    <mergeCell ref="E4:E5"/>
    <mergeCell ref="G4:G5"/>
    <mergeCell ref="B9:B10"/>
    <mergeCell ref="E9:E10"/>
    <mergeCell ref="G9:G10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8C89-A3CE-474C-855D-055E25C476B5}">
  <dimension ref="B1:J947"/>
  <sheetViews>
    <sheetView zoomScale="130" zoomScaleNormal="130" workbookViewId="0">
      <selection activeCell="I14" sqref="I14"/>
    </sheetView>
  </sheetViews>
  <sheetFormatPr defaultColWidth="12.5546875" defaultRowHeight="14.4"/>
  <cols>
    <col min="1" max="1" width="3.88671875" customWidth="1"/>
    <col min="2" max="2" width="32.109375" customWidth="1"/>
    <col min="3" max="3" width="39.44140625" customWidth="1"/>
    <col min="4" max="4" width="17.44140625" customWidth="1"/>
    <col min="5" max="5" width="12" customWidth="1"/>
    <col min="6" max="6" width="17.44140625" customWidth="1"/>
    <col min="7" max="7" width="12" customWidth="1"/>
    <col min="8" max="8" width="8.6640625" customWidth="1"/>
    <col min="9" max="9" width="10.88671875" customWidth="1"/>
    <col min="10" max="10" width="11.33203125" customWidth="1"/>
    <col min="11" max="11" width="10.44140625" customWidth="1"/>
    <col min="12" max="12" width="11.6640625" customWidth="1"/>
    <col min="13" max="17" width="8.6640625" customWidth="1"/>
    <col min="18" max="26" width="14.44140625" customWidth="1"/>
  </cols>
  <sheetData>
    <row r="1" spans="2:10" ht="19.8" customHeight="1">
      <c r="B1" s="245" t="s">
        <v>92</v>
      </c>
      <c r="C1" s="246"/>
      <c r="D1" s="246"/>
      <c r="E1" s="246"/>
      <c r="F1" s="246"/>
      <c r="G1" s="247"/>
    </row>
    <row r="2" spans="2:10" ht="14.25" customHeight="1">
      <c r="B2" s="170"/>
      <c r="C2" s="171"/>
      <c r="D2" s="171"/>
      <c r="E2" s="172"/>
      <c r="F2" s="171"/>
      <c r="G2" s="173"/>
    </row>
    <row r="3" spans="2:10" ht="17.399999999999999" customHeight="1">
      <c r="B3" s="230" t="s">
        <v>105</v>
      </c>
      <c r="E3" s="176">
        <v>45838</v>
      </c>
      <c r="F3" s="177"/>
      <c r="G3" s="178">
        <v>45747</v>
      </c>
    </row>
    <row r="4" spans="2:10" ht="14.25" customHeight="1">
      <c r="B4" s="235" t="s">
        <v>106</v>
      </c>
      <c r="C4" s="179" t="s">
        <v>107</v>
      </c>
      <c r="D4" s="199">
        <v>16484.95</v>
      </c>
      <c r="E4" s="237">
        <v>0.47</v>
      </c>
      <c r="F4" s="199">
        <v>10650.24</v>
      </c>
      <c r="G4" s="243">
        <v>0.38</v>
      </c>
      <c r="I4" s="209"/>
    </row>
    <row r="5" spans="2:10" ht="14.25" customHeight="1">
      <c r="B5" s="236"/>
      <c r="C5" s="180" t="s">
        <v>108</v>
      </c>
      <c r="D5" s="200">
        <v>34813.599999999999</v>
      </c>
      <c r="E5" s="238"/>
      <c r="F5" s="200">
        <v>26995.200000000001</v>
      </c>
      <c r="G5" s="244"/>
    </row>
    <row r="6" spans="2:10" ht="14.25" customHeight="1">
      <c r="B6" s="182" t="s">
        <v>125</v>
      </c>
      <c r="C6" s="212"/>
      <c r="D6" s="215"/>
      <c r="E6" s="214"/>
      <c r="F6" s="213"/>
      <c r="G6" s="216"/>
      <c r="J6" s="41"/>
    </row>
    <row r="7" spans="2:10" ht="14.25" customHeight="1">
      <c r="B7" s="182" t="s">
        <v>124</v>
      </c>
      <c r="C7" s="212"/>
      <c r="D7" s="215"/>
      <c r="E7" s="214"/>
      <c r="F7" s="213"/>
      <c r="G7" s="216"/>
      <c r="I7" s="209"/>
      <c r="J7" s="41"/>
    </row>
    <row r="8" spans="2:10" ht="14.25" customHeight="1">
      <c r="B8" s="182"/>
      <c r="C8" s="183"/>
      <c r="D8" s="201"/>
      <c r="E8" s="185"/>
      <c r="F8" s="184"/>
      <c r="G8" s="186"/>
      <c r="I8" s="208"/>
      <c r="J8" s="41"/>
    </row>
    <row r="9" spans="2:10" ht="14.25" customHeight="1">
      <c r="B9" s="193"/>
      <c r="E9" s="176">
        <v>45838</v>
      </c>
      <c r="F9" s="177"/>
      <c r="G9" s="178">
        <v>45747</v>
      </c>
      <c r="J9" s="41"/>
    </row>
    <row r="10" spans="2:10" ht="14.25" customHeight="1">
      <c r="B10" s="235" t="s">
        <v>111</v>
      </c>
      <c r="C10" s="179" t="s">
        <v>84</v>
      </c>
      <c r="D10" s="199">
        <v>614.79</v>
      </c>
      <c r="E10" s="237">
        <v>0.02</v>
      </c>
      <c r="F10" s="217">
        <v>-8202.66</v>
      </c>
      <c r="G10" s="239">
        <v>0.28999999999999998</v>
      </c>
      <c r="I10" s="209"/>
    </row>
    <row r="11" spans="2:10" ht="14.25" customHeight="1">
      <c r="B11" s="236"/>
      <c r="C11" s="180" t="s">
        <v>108</v>
      </c>
      <c r="D11" s="200">
        <v>34813.599999999999</v>
      </c>
      <c r="E11" s="238"/>
      <c r="F11" s="200">
        <v>26995.200000000001</v>
      </c>
      <c r="G11" s="240"/>
      <c r="I11" s="209"/>
      <c r="J11" s="41"/>
    </row>
    <row r="12" spans="2:10" ht="14.25" customHeight="1">
      <c r="B12" s="182" t="s">
        <v>126</v>
      </c>
      <c r="C12" s="183"/>
      <c r="D12" s="201"/>
      <c r="E12" s="185"/>
      <c r="F12" s="184"/>
      <c r="G12" s="186"/>
    </row>
    <row r="13" spans="2:10" ht="14.25" customHeight="1">
      <c r="B13" s="182" t="s">
        <v>127</v>
      </c>
      <c r="C13" s="183"/>
      <c r="D13" s="201"/>
      <c r="E13" s="185"/>
      <c r="F13" s="184"/>
      <c r="G13" s="186"/>
      <c r="I13" s="208"/>
    </row>
    <row r="14" spans="2:10" ht="14.25" customHeight="1">
      <c r="B14" s="193"/>
      <c r="E14" s="176">
        <v>45838</v>
      </c>
      <c r="F14" s="177"/>
      <c r="G14" s="178">
        <v>45747</v>
      </c>
    </row>
    <row r="15" spans="2:10" ht="14.25" customHeight="1">
      <c r="B15" s="235" t="s">
        <v>130</v>
      </c>
      <c r="C15" s="179" t="s">
        <v>84</v>
      </c>
      <c r="D15" s="199">
        <v>614.78</v>
      </c>
      <c r="E15" s="241">
        <v>8.0000000000000002E-3</v>
      </c>
      <c r="F15" s="217">
        <v>-8202.66</v>
      </c>
      <c r="G15" s="239">
        <v>0.1</v>
      </c>
      <c r="I15" s="209"/>
    </row>
    <row r="16" spans="2:10" ht="14.25" customHeight="1">
      <c r="B16" s="236"/>
      <c r="C16" s="180" t="s">
        <v>113</v>
      </c>
      <c r="D16" s="200">
        <v>73699.539999999994</v>
      </c>
      <c r="E16" s="242"/>
      <c r="F16" s="200">
        <v>85155.67</v>
      </c>
      <c r="G16" s="240"/>
      <c r="I16" s="208"/>
    </row>
    <row r="17" spans="2:9" ht="14.25" customHeight="1">
      <c r="B17" s="182" t="s">
        <v>129</v>
      </c>
      <c r="C17" s="212"/>
      <c r="D17" s="215"/>
      <c r="E17" s="214"/>
      <c r="F17" s="213"/>
      <c r="G17" s="216"/>
      <c r="I17" s="209"/>
    </row>
    <row r="18" spans="2:9" ht="14.25" customHeight="1">
      <c r="B18" s="182"/>
      <c r="C18" s="183"/>
      <c r="D18" s="201"/>
      <c r="E18" s="185"/>
      <c r="F18" s="184"/>
      <c r="G18" s="186"/>
    </row>
    <row r="19" spans="2:9" ht="14.25" customHeight="1">
      <c r="B19" s="193"/>
      <c r="E19" s="176">
        <v>45838</v>
      </c>
      <c r="F19" s="177"/>
      <c r="G19" s="178">
        <v>45747</v>
      </c>
      <c r="I19" s="208"/>
    </row>
    <row r="20" spans="2:9" ht="14.25" customHeight="1">
      <c r="B20" s="235" t="s">
        <v>131</v>
      </c>
      <c r="C20" s="179" t="s">
        <v>84</v>
      </c>
      <c r="D20" s="199">
        <v>614.78</v>
      </c>
      <c r="E20" s="237">
        <v>0.01</v>
      </c>
      <c r="F20" s="219">
        <v>-8202.66</v>
      </c>
      <c r="G20" s="239">
        <v>0.13</v>
      </c>
    </row>
    <row r="21" spans="2:9" ht="14.25" customHeight="1">
      <c r="B21" s="236"/>
      <c r="C21" s="180" t="s">
        <v>115</v>
      </c>
      <c r="D21" s="200">
        <v>58443.24</v>
      </c>
      <c r="E21" s="238"/>
      <c r="F21" s="200">
        <v>61797.34</v>
      </c>
      <c r="G21" s="240"/>
      <c r="I21" s="209"/>
    </row>
    <row r="22" spans="2:9" ht="15" customHeight="1">
      <c r="B22" s="182" t="s">
        <v>128</v>
      </c>
      <c r="C22" s="220"/>
      <c r="D22" s="220"/>
      <c r="E22" s="221"/>
      <c r="F22" s="220"/>
      <c r="G22" s="169"/>
      <c r="I22" s="41"/>
    </row>
    <row r="23" spans="2:9" ht="14.25" customHeight="1">
      <c r="B23" s="202"/>
      <c r="C23" s="196"/>
      <c r="D23" s="196"/>
      <c r="E23" s="197"/>
      <c r="F23" s="196"/>
      <c r="G23" s="198"/>
      <c r="I23" s="41"/>
    </row>
    <row r="24" spans="2:9" ht="14.25" customHeight="1">
      <c r="B24" s="203"/>
      <c r="E24" s="168"/>
      <c r="G24" s="168"/>
    </row>
    <row r="25" spans="2:9" ht="14.25" customHeight="1">
      <c r="B25" s="203"/>
      <c r="E25" s="168"/>
      <c r="G25" s="168"/>
    </row>
    <row r="26" spans="2:9" ht="14.25" customHeight="1">
      <c r="B26" s="203"/>
      <c r="E26" s="168"/>
      <c r="G26" s="168"/>
    </row>
    <row r="27" spans="2:9" ht="14.25" customHeight="1">
      <c r="B27" s="203"/>
      <c r="E27" s="168"/>
      <c r="G27" s="168"/>
    </row>
    <row r="28" spans="2:9" ht="14.25" customHeight="1">
      <c r="B28" s="203"/>
      <c r="E28" s="168"/>
      <c r="G28" s="168"/>
    </row>
    <row r="29" spans="2:9" ht="14.25" customHeight="1">
      <c r="B29" s="203"/>
      <c r="E29" s="168"/>
      <c r="G29" s="168"/>
    </row>
    <row r="30" spans="2:9" ht="14.25" customHeight="1">
      <c r="B30" s="203"/>
      <c r="E30" s="168"/>
      <c r="G30" s="168"/>
    </row>
    <row r="31" spans="2:9" ht="14.25" customHeight="1">
      <c r="B31" s="203"/>
      <c r="E31" s="168"/>
      <c r="G31" s="168"/>
    </row>
    <row r="32" spans="2:9" ht="14.25" customHeight="1">
      <c r="B32" s="203"/>
      <c r="E32" s="168"/>
      <c r="G32" s="168"/>
    </row>
    <row r="33" spans="2:7" ht="14.25" customHeight="1">
      <c r="B33" s="203"/>
      <c r="E33" s="168"/>
      <c r="G33" s="168"/>
    </row>
    <row r="34" spans="2:7" ht="14.25" customHeight="1">
      <c r="B34" s="203"/>
      <c r="E34" s="168"/>
      <c r="G34" s="168"/>
    </row>
    <row r="35" spans="2:7" ht="14.25" customHeight="1">
      <c r="B35" s="203"/>
      <c r="E35" s="168"/>
      <c r="G35" s="168"/>
    </row>
    <row r="36" spans="2:7" ht="14.25" customHeight="1">
      <c r="B36" s="203"/>
      <c r="E36" s="168"/>
      <c r="G36" s="168"/>
    </row>
    <row r="37" spans="2:7" ht="14.25" customHeight="1">
      <c r="B37" s="203"/>
      <c r="E37" s="168"/>
      <c r="G37" s="168"/>
    </row>
    <row r="38" spans="2:7" ht="14.25" customHeight="1">
      <c r="B38" s="203"/>
      <c r="E38" s="168"/>
      <c r="G38" s="168"/>
    </row>
    <row r="39" spans="2:7" ht="14.25" customHeight="1">
      <c r="B39" s="203"/>
      <c r="E39" s="168"/>
      <c r="G39" s="168"/>
    </row>
    <row r="40" spans="2:7" ht="14.25" customHeight="1">
      <c r="B40" s="203"/>
      <c r="E40" s="168"/>
      <c r="G40" s="168"/>
    </row>
    <row r="41" spans="2:7" ht="14.25" customHeight="1">
      <c r="B41" s="203"/>
      <c r="E41" s="168"/>
      <c r="G41" s="168"/>
    </row>
    <row r="42" spans="2:7" ht="14.25" customHeight="1">
      <c r="B42" s="203"/>
      <c r="E42" s="168"/>
      <c r="G42" s="168"/>
    </row>
    <row r="43" spans="2:7" ht="14.25" customHeight="1">
      <c r="B43" s="203"/>
      <c r="E43" s="168"/>
      <c r="G43" s="168"/>
    </row>
    <row r="44" spans="2:7" ht="14.25" customHeight="1">
      <c r="B44" s="203"/>
      <c r="E44" s="168"/>
      <c r="G44" s="168"/>
    </row>
    <row r="45" spans="2:7" ht="14.25" customHeight="1">
      <c r="B45" s="203"/>
      <c r="E45" s="168"/>
      <c r="G45" s="168"/>
    </row>
    <row r="46" spans="2:7" ht="14.25" customHeight="1">
      <c r="B46" s="203"/>
      <c r="E46" s="168"/>
      <c r="G46" s="168"/>
    </row>
    <row r="47" spans="2:7" ht="14.25" customHeight="1">
      <c r="B47" s="203"/>
      <c r="E47" s="168"/>
      <c r="G47" s="168"/>
    </row>
    <row r="48" spans="2:7" ht="14.25" customHeight="1">
      <c r="B48" s="203"/>
      <c r="E48" s="168"/>
      <c r="G48" s="168"/>
    </row>
    <row r="49" spans="2:7" ht="14.25" customHeight="1">
      <c r="B49" s="203"/>
      <c r="E49" s="168"/>
      <c r="G49" s="168"/>
    </row>
    <row r="50" spans="2:7" ht="14.25" customHeight="1">
      <c r="B50" s="203"/>
      <c r="E50" s="168"/>
      <c r="G50" s="168"/>
    </row>
    <row r="51" spans="2:7" ht="14.25" customHeight="1">
      <c r="B51" s="203"/>
      <c r="E51" s="168"/>
      <c r="G51" s="168"/>
    </row>
    <row r="52" spans="2:7" ht="14.25" customHeight="1">
      <c r="B52" s="203"/>
      <c r="E52" s="168"/>
      <c r="G52" s="168"/>
    </row>
    <row r="53" spans="2:7" ht="14.25" customHeight="1">
      <c r="B53" s="203"/>
      <c r="E53" s="168"/>
      <c r="G53" s="168"/>
    </row>
    <row r="54" spans="2:7" ht="14.25" customHeight="1">
      <c r="B54" s="203"/>
      <c r="E54" s="168"/>
      <c r="G54" s="168"/>
    </row>
    <row r="55" spans="2:7" ht="14.25" customHeight="1">
      <c r="B55" s="203"/>
      <c r="E55" s="168"/>
      <c r="G55" s="168"/>
    </row>
    <row r="56" spans="2:7" ht="14.25" customHeight="1">
      <c r="B56" s="203"/>
      <c r="E56" s="168"/>
      <c r="G56" s="168"/>
    </row>
    <row r="57" spans="2:7" ht="14.25" customHeight="1">
      <c r="B57" s="203"/>
      <c r="E57" s="168"/>
      <c r="G57" s="168"/>
    </row>
    <row r="58" spans="2:7" ht="14.25" customHeight="1">
      <c r="B58" s="203"/>
      <c r="E58" s="168"/>
      <c r="G58" s="168"/>
    </row>
    <row r="59" spans="2:7" ht="14.25" customHeight="1">
      <c r="B59" s="203"/>
      <c r="E59" s="168"/>
      <c r="G59" s="168"/>
    </row>
    <row r="60" spans="2:7" ht="14.25" customHeight="1">
      <c r="B60" s="203"/>
      <c r="E60" s="168"/>
      <c r="G60" s="168"/>
    </row>
    <row r="61" spans="2:7" ht="14.25" customHeight="1">
      <c r="B61" s="203"/>
      <c r="E61" s="168"/>
      <c r="G61" s="168"/>
    </row>
    <row r="62" spans="2:7" ht="14.25" customHeight="1">
      <c r="B62" s="203"/>
      <c r="E62" s="168"/>
      <c r="G62" s="168"/>
    </row>
    <row r="63" spans="2:7" ht="14.25" customHeight="1">
      <c r="B63" s="203"/>
      <c r="E63" s="168"/>
      <c r="G63" s="168"/>
    </row>
    <row r="64" spans="2:7" ht="14.25" customHeight="1">
      <c r="B64" s="203"/>
      <c r="E64" s="168"/>
      <c r="G64" s="168"/>
    </row>
    <row r="65" spans="2:7" ht="14.25" customHeight="1">
      <c r="B65" s="203"/>
      <c r="E65" s="168"/>
      <c r="G65" s="168"/>
    </row>
    <row r="66" spans="2:7" ht="14.25" customHeight="1">
      <c r="B66" s="203"/>
      <c r="E66" s="168"/>
      <c r="G66" s="168"/>
    </row>
    <row r="67" spans="2:7" ht="14.25" customHeight="1">
      <c r="B67" s="203"/>
      <c r="E67" s="168"/>
      <c r="G67" s="168"/>
    </row>
    <row r="68" spans="2:7" ht="14.25" customHeight="1">
      <c r="B68" s="203"/>
      <c r="E68" s="168"/>
      <c r="G68" s="168"/>
    </row>
    <row r="69" spans="2:7" ht="14.25" customHeight="1">
      <c r="B69" s="203"/>
      <c r="E69" s="168"/>
      <c r="G69" s="168"/>
    </row>
    <row r="70" spans="2:7" ht="14.25" customHeight="1">
      <c r="B70" s="203"/>
      <c r="E70" s="168"/>
      <c r="G70" s="168"/>
    </row>
    <row r="71" spans="2:7" ht="14.25" customHeight="1">
      <c r="B71" s="203"/>
      <c r="E71" s="168"/>
      <c r="G71" s="168"/>
    </row>
    <row r="72" spans="2:7" ht="14.25" customHeight="1">
      <c r="B72" s="203"/>
      <c r="E72" s="168"/>
      <c r="G72" s="168"/>
    </row>
    <row r="73" spans="2:7" ht="14.25" customHeight="1">
      <c r="B73" s="203"/>
      <c r="E73" s="168"/>
      <c r="G73" s="168"/>
    </row>
    <row r="74" spans="2:7" ht="14.25" customHeight="1">
      <c r="B74" s="203"/>
      <c r="E74" s="168"/>
      <c r="G74" s="168"/>
    </row>
    <row r="75" spans="2:7" ht="14.25" customHeight="1">
      <c r="B75" s="203"/>
      <c r="E75" s="168"/>
      <c r="G75" s="168"/>
    </row>
    <row r="76" spans="2:7" ht="14.25" customHeight="1">
      <c r="B76" s="203"/>
      <c r="E76" s="168"/>
      <c r="G76" s="168"/>
    </row>
    <row r="77" spans="2:7" ht="14.25" customHeight="1">
      <c r="B77" s="203"/>
      <c r="E77" s="168"/>
      <c r="G77" s="168"/>
    </row>
    <row r="78" spans="2:7" ht="14.25" customHeight="1">
      <c r="B78" s="203"/>
      <c r="E78" s="168"/>
      <c r="G78" s="168"/>
    </row>
    <row r="79" spans="2:7" ht="14.25" customHeight="1">
      <c r="B79" s="203"/>
      <c r="E79" s="168"/>
      <c r="G79" s="168"/>
    </row>
    <row r="80" spans="2:7" ht="14.25" customHeight="1">
      <c r="B80" s="203"/>
      <c r="E80" s="168"/>
      <c r="G80" s="168"/>
    </row>
    <row r="81" spans="2:7" ht="14.25" customHeight="1">
      <c r="B81" s="203"/>
      <c r="E81" s="168"/>
      <c r="G81" s="168"/>
    </row>
    <row r="82" spans="2:7" ht="14.25" customHeight="1">
      <c r="B82" s="203"/>
      <c r="E82" s="168"/>
      <c r="G82" s="168"/>
    </row>
    <row r="83" spans="2:7" ht="14.25" customHeight="1">
      <c r="B83" s="203"/>
      <c r="E83" s="168"/>
      <c r="G83" s="168"/>
    </row>
    <row r="84" spans="2:7" ht="14.25" customHeight="1">
      <c r="B84" s="203"/>
      <c r="E84" s="168"/>
      <c r="G84" s="168"/>
    </row>
    <row r="85" spans="2:7" ht="14.25" customHeight="1">
      <c r="B85" s="203"/>
      <c r="E85" s="168"/>
      <c r="G85" s="168"/>
    </row>
    <row r="86" spans="2:7" ht="14.25" customHeight="1">
      <c r="B86" s="203"/>
      <c r="E86" s="168"/>
      <c r="G86" s="168"/>
    </row>
    <row r="87" spans="2:7" ht="14.25" customHeight="1">
      <c r="B87" s="203"/>
      <c r="E87" s="168"/>
      <c r="G87" s="168"/>
    </row>
    <row r="88" spans="2:7" ht="14.25" customHeight="1">
      <c r="B88" s="203"/>
      <c r="E88" s="168"/>
      <c r="G88" s="168"/>
    </row>
    <row r="89" spans="2:7" ht="14.25" customHeight="1">
      <c r="B89" s="203"/>
      <c r="E89" s="168"/>
      <c r="G89" s="168"/>
    </row>
    <row r="90" spans="2:7" ht="14.25" customHeight="1">
      <c r="B90" s="203"/>
      <c r="E90" s="168"/>
      <c r="G90" s="168"/>
    </row>
    <row r="91" spans="2:7" ht="14.25" customHeight="1">
      <c r="B91" s="203"/>
      <c r="E91" s="168"/>
      <c r="G91" s="168"/>
    </row>
    <row r="92" spans="2:7" ht="14.25" customHeight="1">
      <c r="B92" s="203"/>
      <c r="E92" s="168"/>
      <c r="G92" s="168"/>
    </row>
    <row r="93" spans="2:7" ht="14.25" customHeight="1">
      <c r="B93" s="203"/>
      <c r="E93" s="168"/>
      <c r="G93" s="168"/>
    </row>
    <row r="94" spans="2:7" ht="14.25" customHeight="1">
      <c r="B94" s="203"/>
      <c r="E94" s="168"/>
      <c r="G94" s="168"/>
    </row>
    <row r="95" spans="2:7" ht="14.25" customHeight="1">
      <c r="B95" s="203"/>
      <c r="E95" s="168"/>
      <c r="G95" s="168"/>
    </row>
    <row r="96" spans="2:7" ht="14.25" customHeight="1">
      <c r="B96" s="203"/>
      <c r="E96" s="168"/>
      <c r="G96" s="168"/>
    </row>
    <row r="97" spans="2:7" ht="14.25" customHeight="1">
      <c r="B97" s="203"/>
      <c r="E97" s="168"/>
      <c r="G97" s="168"/>
    </row>
    <row r="98" spans="2:7" ht="14.25" customHeight="1">
      <c r="B98" s="203"/>
      <c r="E98" s="168"/>
      <c r="G98" s="168"/>
    </row>
    <row r="99" spans="2:7" ht="14.25" customHeight="1">
      <c r="B99" s="203"/>
      <c r="E99" s="168"/>
      <c r="G99" s="168"/>
    </row>
    <row r="100" spans="2:7" ht="14.25" customHeight="1">
      <c r="B100" s="203"/>
      <c r="E100" s="168"/>
      <c r="G100" s="168"/>
    </row>
    <row r="101" spans="2:7" ht="14.25" customHeight="1">
      <c r="B101" s="203"/>
      <c r="E101" s="168"/>
      <c r="G101" s="168"/>
    </row>
    <row r="102" spans="2:7" ht="14.25" customHeight="1">
      <c r="B102" s="203"/>
      <c r="E102" s="168"/>
      <c r="G102" s="168"/>
    </row>
    <row r="103" spans="2:7" ht="14.25" customHeight="1">
      <c r="B103" s="203"/>
      <c r="E103" s="168"/>
      <c r="G103" s="168"/>
    </row>
    <row r="104" spans="2:7" ht="14.25" customHeight="1">
      <c r="B104" s="203"/>
      <c r="E104" s="168"/>
      <c r="G104" s="168"/>
    </row>
    <row r="105" spans="2:7" ht="14.25" customHeight="1">
      <c r="B105" s="203"/>
      <c r="E105" s="168"/>
      <c r="G105" s="168"/>
    </row>
    <row r="106" spans="2:7" ht="14.25" customHeight="1">
      <c r="B106" s="203"/>
      <c r="E106" s="168"/>
      <c r="G106" s="168"/>
    </row>
    <row r="107" spans="2:7" ht="14.25" customHeight="1">
      <c r="B107" s="203"/>
      <c r="E107" s="168"/>
      <c r="G107" s="168"/>
    </row>
    <row r="108" spans="2:7" ht="14.25" customHeight="1">
      <c r="B108" s="203"/>
      <c r="E108" s="168"/>
      <c r="G108" s="168"/>
    </row>
    <row r="109" spans="2:7" ht="14.25" customHeight="1">
      <c r="B109" s="203"/>
      <c r="E109" s="168"/>
      <c r="G109" s="168"/>
    </row>
    <row r="110" spans="2:7" ht="14.25" customHeight="1">
      <c r="B110" s="203"/>
      <c r="E110" s="168"/>
      <c r="G110" s="168"/>
    </row>
    <row r="111" spans="2:7" ht="14.25" customHeight="1">
      <c r="B111" s="203"/>
      <c r="E111" s="168"/>
      <c r="G111" s="168"/>
    </row>
    <row r="112" spans="2:7" ht="14.25" customHeight="1">
      <c r="B112" s="203"/>
      <c r="E112" s="168"/>
      <c r="G112" s="168"/>
    </row>
    <row r="113" spans="2:7" ht="14.25" customHeight="1">
      <c r="B113" s="203"/>
      <c r="E113" s="168"/>
      <c r="G113" s="168"/>
    </row>
    <row r="114" spans="2:7" ht="14.25" customHeight="1">
      <c r="B114" s="203"/>
      <c r="E114" s="168"/>
      <c r="G114" s="168"/>
    </row>
    <row r="115" spans="2:7" ht="14.25" customHeight="1">
      <c r="B115" s="203"/>
      <c r="E115" s="168"/>
      <c r="G115" s="168"/>
    </row>
    <row r="116" spans="2:7" ht="14.25" customHeight="1">
      <c r="B116" s="203"/>
      <c r="E116" s="168"/>
      <c r="G116" s="168"/>
    </row>
    <row r="117" spans="2:7" ht="14.25" customHeight="1">
      <c r="B117" s="203"/>
      <c r="E117" s="168"/>
      <c r="G117" s="168"/>
    </row>
    <row r="118" spans="2:7" ht="14.25" customHeight="1">
      <c r="B118" s="203"/>
      <c r="E118" s="168"/>
      <c r="G118" s="168"/>
    </row>
    <row r="119" spans="2:7" ht="14.25" customHeight="1">
      <c r="B119" s="203"/>
      <c r="E119" s="168"/>
      <c r="G119" s="168"/>
    </row>
    <row r="120" spans="2:7" ht="14.25" customHeight="1">
      <c r="B120" s="203"/>
      <c r="E120" s="168"/>
      <c r="G120" s="168"/>
    </row>
    <row r="121" spans="2:7" ht="14.25" customHeight="1">
      <c r="B121" s="203"/>
      <c r="E121" s="168"/>
      <c r="G121" s="168"/>
    </row>
    <row r="122" spans="2:7" ht="14.25" customHeight="1">
      <c r="B122" s="203"/>
      <c r="E122" s="168"/>
      <c r="G122" s="168"/>
    </row>
    <row r="123" spans="2:7" ht="14.25" customHeight="1">
      <c r="B123" s="203"/>
      <c r="E123" s="168"/>
      <c r="G123" s="168"/>
    </row>
    <row r="124" spans="2:7" ht="14.25" customHeight="1">
      <c r="B124" s="203"/>
      <c r="E124" s="168"/>
      <c r="G124" s="168"/>
    </row>
    <row r="125" spans="2:7" ht="14.25" customHeight="1">
      <c r="B125" s="203"/>
      <c r="E125" s="168"/>
      <c r="G125" s="168"/>
    </row>
    <row r="126" spans="2:7" ht="14.25" customHeight="1">
      <c r="B126" s="203"/>
      <c r="E126" s="168"/>
      <c r="G126" s="168"/>
    </row>
    <row r="127" spans="2:7" ht="14.25" customHeight="1">
      <c r="B127" s="203"/>
      <c r="E127" s="168"/>
      <c r="G127" s="168"/>
    </row>
    <row r="128" spans="2:7" ht="14.25" customHeight="1">
      <c r="B128" s="203"/>
      <c r="E128" s="168"/>
      <c r="G128" s="168"/>
    </row>
    <row r="129" spans="2:7" ht="14.25" customHeight="1">
      <c r="B129" s="203"/>
      <c r="E129" s="168"/>
      <c r="G129" s="168"/>
    </row>
    <row r="130" spans="2:7" ht="14.25" customHeight="1">
      <c r="B130" s="203"/>
      <c r="E130" s="168"/>
      <c r="G130" s="168"/>
    </row>
    <row r="131" spans="2:7" ht="14.25" customHeight="1">
      <c r="B131" s="203"/>
      <c r="E131" s="168"/>
      <c r="G131" s="168"/>
    </row>
    <row r="132" spans="2:7" ht="14.25" customHeight="1">
      <c r="B132" s="203"/>
      <c r="E132" s="168"/>
      <c r="G132" s="168"/>
    </row>
    <row r="133" spans="2:7" ht="14.25" customHeight="1">
      <c r="B133" s="203"/>
      <c r="E133" s="168"/>
      <c r="G133" s="168"/>
    </row>
    <row r="134" spans="2:7" ht="14.25" customHeight="1">
      <c r="B134" s="203"/>
      <c r="E134" s="168"/>
      <c r="G134" s="168"/>
    </row>
    <row r="135" spans="2:7" ht="14.25" customHeight="1">
      <c r="B135" s="203"/>
      <c r="E135" s="168"/>
      <c r="G135" s="168"/>
    </row>
    <row r="136" spans="2:7" ht="14.25" customHeight="1">
      <c r="B136" s="203"/>
      <c r="E136" s="168"/>
      <c r="G136" s="168"/>
    </row>
    <row r="137" spans="2:7" ht="14.25" customHeight="1">
      <c r="B137" s="203"/>
      <c r="E137" s="168"/>
      <c r="G137" s="168"/>
    </row>
    <row r="138" spans="2:7" ht="14.25" customHeight="1">
      <c r="B138" s="203"/>
      <c r="E138" s="168"/>
      <c r="G138" s="168"/>
    </row>
    <row r="139" spans="2:7" ht="14.25" customHeight="1">
      <c r="B139" s="203"/>
      <c r="E139" s="168"/>
      <c r="G139" s="168"/>
    </row>
    <row r="140" spans="2:7" ht="14.25" customHeight="1">
      <c r="B140" s="203"/>
      <c r="E140" s="168"/>
      <c r="G140" s="168"/>
    </row>
    <row r="141" spans="2:7" ht="14.25" customHeight="1">
      <c r="B141" s="203"/>
      <c r="E141" s="168"/>
      <c r="G141" s="168"/>
    </row>
    <row r="142" spans="2:7" ht="14.25" customHeight="1">
      <c r="B142" s="203"/>
      <c r="E142" s="168"/>
      <c r="G142" s="168"/>
    </row>
    <row r="143" spans="2:7" ht="14.25" customHeight="1">
      <c r="B143" s="203"/>
      <c r="E143" s="168"/>
      <c r="G143" s="168"/>
    </row>
    <row r="144" spans="2:7" ht="14.25" customHeight="1">
      <c r="B144" s="203"/>
      <c r="E144" s="168"/>
      <c r="G144" s="168"/>
    </row>
    <row r="145" spans="2:7" ht="14.25" customHeight="1">
      <c r="B145" s="203"/>
      <c r="E145" s="168"/>
      <c r="G145" s="168"/>
    </row>
    <row r="146" spans="2:7" ht="14.25" customHeight="1">
      <c r="B146" s="203"/>
      <c r="E146" s="168"/>
      <c r="G146" s="168"/>
    </row>
    <row r="147" spans="2:7" ht="14.25" customHeight="1">
      <c r="B147" s="203"/>
      <c r="E147" s="168"/>
      <c r="G147" s="168"/>
    </row>
    <row r="148" spans="2:7" ht="14.25" customHeight="1">
      <c r="B148" s="203"/>
      <c r="E148" s="168"/>
      <c r="G148" s="168"/>
    </row>
    <row r="149" spans="2:7" ht="14.25" customHeight="1">
      <c r="B149" s="203"/>
      <c r="E149" s="168"/>
      <c r="G149" s="168"/>
    </row>
    <row r="150" spans="2:7" ht="14.25" customHeight="1">
      <c r="B150" s="203"/>
      <c r="E150" s="168"/>
      <c r="G150" s="168"/>
    </row>
    <row r="151" spans="2:7" ht="14.25" customHeight="1">
      <c r="B151" s="203"/>
      <c r="E151" s="168"/>
      <c r="G151" s="168"/>
    </row>
    <row r="152" spans="2:7" ht="14.25" customHeight="1">
      <c r="B152" s="203"/>
      <c r="E152" s="168"/>
      <c r="G152" s="168"/>
    </row>
    <row r="153" spans="2:7" ht="14.25" customHeight="1">
      <c r="B153" s="203"/>
      <c r="E153" s="168"/>
      <c r="G153" s="168"/>
    </row>
    <row r="154" spans="2:7" ht="14.25" customHeight="1">
      <c r="B154" s="203"/>
      <c r="E154" s="168"/>
      <c r="G154" s="168"/>
    </row>
    <row r="155" spans="2:7" ht="14.25" customHeight="1">
      <c r="B155" s="203"/>
      <c r="E155" s="168"/>
      <c r="G155" s="168"/>
    </row>
    <row r="156" spans="2:7" ht="14.25" customHeight="1">
      <c r="B156" s="203"/>
      <c r="E156" s="168"/>
      <c r="G156" s="168"/>
    </row>
    <row r="157" spans="2:7" ht="14.25" customHeight="1">
      <c r="B157" s="203"/>
      <c r="E157" s="168"/>
      <c r="G157" s="168"/>
    </row>
    <row r="158" spans="2:7" ht="14.25" customHeight="1">
      <c r="B158" s="203"/>
      <c r="E158" s="168"/>
      <c r="G158" s="168"/>
    </row>
    <row r="159" spans="2:7" ht="14.25" customHeight="1">
      <c r="B159" s="203"/>
      <c r="E159" s="168"/>
      <c r="G159" s="168"/>
    </row>
    <row r="160" spans="2:7" ht="14.25" customHeight="1">
      <c r="B160" s="203"/>
      <c r="E160" s="168"/>
      <c r="G160" s="168"/>
    </row>
    <row r="161" spans="2:7" ht="14.25" customHeight="1">
      <c r="B161" s="203"/>
      <c r="E161" s="168"/>
      <c r="G161" s="168"/>
    </row>
    <row r="162" spans="2:7" ht="14.25" customHeight="1">
      <c r="B162" s="203"/>
      <c r="E162" s="168"/>
      <c r="G162" s="168"/>
    </row>
    <row r="163" spans="2:7" ht="14.25" customHeight="1">
      <c r="B163" s="203"/>
      <c r="E163" s="168"/>
      <c r="G163" s="168"/>
    </row>
    <row r="164" spans="2:7" ht="14.25" customHeight="1">
      <c r="B164" s="203"/>
      <c r="E164" s="168"/>
      <c r="G164" s="168"/>
    </row>
    <row r="165" spans="2:7" ht="14.25" customHeight="1">
      <c r="B165" s="203"/>
      <c r="E165" s="168"/>
      <c r="G165" s="168"/>
    </row>
    <row r="166" spans="2:7" ht="14.25" customHeight="1">
      <c r="B166" s="203"/>
      <c r="E166" s="168"/>
      <c r="G166" s="168"/>
    </row>
    <row r="167" spans="2:7" ht="14.25" customHeight="1">
      <c r="B167" s="203"/>
      <c r="E167" s="168"/>
      <c r="G167" s="168"/>
    </row>
    <row r="168" spans="2:7" ht="14.25" customHeight="1">
      <c r="B168" s="203"/>
      <c r="E168" s="168"/>
      <c r="G168" s="168"/>
    </row>
    <row r="169" spans="2:7" ht="14.25" customHeight="1">
      <c r="B169" s="203"/>
      <c r="E169" s="168"/>
      <c r="G169" s="168"/>
    </row>
    <row r="170" spans="2:7" ht="14.25" customHeight="1">
      <c r="B170" s="203"/>
      <c r="E170" s="168"/>
      <c r="G170" s="168"/>
    </row>
    <row r="171" spans="2:7" ht="14.25" customHeight="1">
      <c r="B171" s="203"/>
      <c r="E171" s="168"/>
      <c r="G171" s="168"/>
    </row>
    <row r="172" spans="2:7" ht="14.25" customHeight="1">
      <c r="B172" s="203"/>
      <c r="E172" s="168"/>
      <c r="G172" s="168"/>
    </row>
    <row r="173" spans="2:7" ht="14.25" customHeight="1">
      <c r="B173" s="203"/>
      <c r="E173" s="168"/>
      <c r="G173" s="168"/>
    </row>
    <row r="174" spans="2:7" ht="14.25" customHeight="1">
      <c r="B174" s="203"/>
      <c r="E174" s="168"/>
      <c r="G174" s="168"/>
    </row>
    <row r="175" spans="2:7" ht="14.25" customHeight="1">
      <c r="B175" s="203"/>
      <c r="E175" s="168"/>
      <c r="G175" s="168"/>
    </row>
    <row r="176" spans="2:7" ht="14.25" customHeight="1">
      <c r="B176" s="203"/>
      <c r="E176" s="168"/>
      <c r="G176" s="168"/>
    </row>
    <row r="177" spans="2:7" ht="14.25" customHeight="1">
      <c r="B177" s="203"/>
      <c r="E177" s="168"/>
      <c r="G177" s="168"/>
    </row>
    <row r="178" spans="2:7" ht="14.25" customHeight="1">
      <c r="B178" s="203"/>
      <c r="E178" s="168"/>
      <c r="G178" s="168"/>
    </row>
    <row r="179" spans="2:7" ht="14.25" customHeight="1">
      <c r="B179" s="203"/>
      <c r="E179" s="168"/>
      <c r="G179" s="168"/>
    </row>
    <row r="180" spans="2:7" ht="14.25" customHeight="1">
      <c r="B180" s="203"/>
      <c r="E180" s="168"/>
      <c r="G180" s="168"/>
    </row>
    <row r="181" spans="2:7" ht="14.25" customHeight="1">
      <c r="B181" s="203"/>
      <c r="E181" s="168"/>
      <c r="G181" s="168"/>
    </row>
    <row r="182" spans="2:7" ht="14.25" customHeight="1">
      <c r="B182" s="203"/>
      <c r="E182" s="168"/>
      <c r="G182" s="168"/>
    </row>
    <row r="183" spans="2:7" ht="14.25" customHeight="1">
      <c r="B183" s="203"/>
      <c r="E183" s="168"/>
      <c r="G183" s="168"/>
    </row>
    <row r="184" spans="2:7" ht="14.25" customHeight="1">
      <c r="B184" s="203"/>
      <c r="E184" s="168"/>
      <c r="G184" s="168"/>
    </row>
    <row r="185" spans="2:7" ht="14.25" customHeight="1">
      <c r="B185" s="203"/>
      <c r="E185" s="168"/>
      <c r="G185" s="168"/>
    </row>
    <row r="186" spans="2:7" ht="14.25" customHeight="1">
      <c r="B186" s="203"/>
      <c r="E186" s="168"/>
      <c r="G186" s="168"/>
    </row>
    <row r="187" spans="2:7" ht="14.25" customHeight="1">
      <c r="B187" s="203"/>
      <c r="E187" s="168"/>
      <c r="G187" s="168"/>
    </row>
    <row r="188" spans="2:7" ht="14.25" customHeight="1">
      <c r="B188" s="203"/>
      <c r="E188" s="168"/>
      <c r="G188" s="168"/>
    </row>
    <row r="189" spans="2:7" ht="14.25" customHeight="1">
      <c r="B189" s="203"/>
      <c r="E189" s="168"/>
      <c r="G189" s="168"/>
    </row>
    <row r="190" spans="2:7" ht="14.25" customHeight="1">
      <c r="B190" s="203"/>
      <c r="E190" s="168"/>
      <c r="G190" s="168"/>
    </row>
    <row r="191" spans="2:7" ht="14.25" customHeight="1">
      <c r="B191" s="203"/>
      <c r="E191" s="168"/>
      <c r="G191" s="168"/>
    </row>
    <row r="192" spans="2:7" ht="14.25" customHeight="1">
      <c r="B192" s="203"/>
      <c r="E192" s="168"/>
      <c r="G192" s="168"/>
    </row>
    <row r="193" spans="2:7" ht="14.25" customHeight="1">
      <c r="B193" s="203"/>
      <c r="E193" s="168"/>
      <c r="G193" s="168"/>
    </row>
    <row r="194" spans="2:7" ht="14.25" customHeight="1">
      <c r="B194" s="203"/>
      <c r="E194" s="168"/>
      <c r="G194" s="168"/>
    </row>
    <row r="195" spans="2:7" ht="14.25" customHeight="1">
      <c r="B195" s="203"/>
      <c r="E195" s="168"/>
      <c r="G195" s="168"/>
    </row>
    <row r="196" spans="2:7" ht="14.25" customHeight="1">
      <c r="B196" s="203"/>
      <c r="E196" s="168"/>
      <c r="G196" s="168"/>
    </row>
    <row r="197" spans="2:7" ht="14.25" customHeight="1">
      <c r="B197" s="203"/>
      <c r="E197" s="168"/>
      <c r="G197" s="168"/>
    </row>
    <row r="198" spans="2:7" ht="14.25" customHeight="1">
      <c r="B198" s="203"/>
      <c r="E198" s="168"/>
      <c r="G198" s="168"/>
    </row>
    <row r="199" spans="2:7" ht="14.25" customHeight="1">
      <c r="B199" s="203"/>
      <c r="E199" s="168"/>
      <c r="G199" s="168"/>
    </row>
    <row r="200" spans="2:7" ht="14.25" customHeight="1">
      <c r="B200" s="203"/>
      <c r="E200" s="168"/>
      <c r="G200" s="168"/>
    </row>
    <row r="201" spans="2:7" ht="14.25" customHeight="1">
      <c r="B201" s="203"/>
      <c r="E201" s="168"/>
      <c r="G201" s="168"/>
    </row>
    <row r="202" spans="2:7" ht="14.25" customHeight="1">
      <c r="B202" s="203"/>
      <c r="E202" s="168"/>
      <c r="G202" s="168"/>
    </row>
    <row r="203" spans="2:7" ht="14.25" customHeight="1">
      <c r="B203" s="203"/>
      <c r="E203" s="168"/>
      <c r="G203" s="168"/>
    </row>
    <row r="204" spans="2:7" ht="14.25" customHeight="1">
      <c r="B204" s="203"/>
      <c r="E204" s="168"/>
      <c r="G204" s="168"/>
    </row>
    <row r="205" spans="2:7" ht="14.25" customHeight="1">
      <c r="B205" s="203"/>
      <c r="E205" s="168"/>
      <c r="G205" s="168"/>
    </row>
    <row r="206" spans="2:7" ht="14.25" customHeight="1">
      <c r="B206" s="203"/>
      <c r="E206" s="168"/>
      <c r="G206" s="168"/>
    </row>
    <row r="207" spans="2:7" ht="14.25" customHeight="1">
      <c r="B207" s="203"/>
      <c r="E207" s="168"/>
      <c r="G207" s="168"/>
    </row>
    <row r="208" spans="2:7" ht="14.25" customHeight="1">
      <c r="B208" s="203"/>
      <c r="E208" s="168"/>
      <c r="G208" s="168"/>
    </row>
    <row r="209" spans="2:7" ht="14.25" customHeight="1">
      <c r="B209" s="203"/>
      <c r="E209" s="168"/>
      <c r="G209" s="168"/>
    </row>
    <row r="210" spans="2:7" ht="14.25" customHeight="1">
      <c r="B210" s="203"/>
      <c r="E210" s="168"/>
      <c r="G210" s="168"/>
    </row>
    <row r="211" spans="2:7" ht="14.25" customHeight="1">
      <c r="B211" s="203"/>
      <c r="E211" s="168"/>
      <c r="G211" s="168"/>
    </row>
    <row r="212" spans="2:7" ht="14.25" customHeight="1">
      <c r="B212" s="203"/>
      <c r="E212" s="168"/>
      <c r="G212" s="168"/>
    </row>
    <row r="213" spans="2:7" ht="14.25" customHeight="1">
      <c r="B213" s="203"/>
      <c r="E213" s="168"/>
      <c r="G213" s="168"/>
    </row>
    <row r="214" spans="2:7" ht="14.25" customHeight="1">
      <c r="B214" s="203"/>
      <c r="E214" s="168"/>
      <c r="G214" s="168"/>
    </row>
    <row r="215" spans="2:7" ht="14.25" customHeight="1">
      <c r="B215" s="203"/>
      <c r="E215" s="168"/>
      <c r="G215" s="168"/>
    </row>
    <row r="216" spans="2:7" ht="14.25" customHeight="1">
      <c r="B216" s="203"/>
      <c r="E216" s="168"/>
      <c r="G216" s="168"/>
    </row>
    <row r="217" spans="2:7" ht="14.25" customHeight="1">
      <c r="B217" s="203"/>
      <c r="E217" s="168"/>
      <c r="G217" s="168"/>
    </row>
    <row r="218" spans="2:7" ht="14.25" customHeight="1">
      <c r="B218" s="203"/>
      <c r="E218" s="168"/>
      <c r="G218" s="168"/>
    </row>
    <row r="219" spans="2:7" ht="14.25" customHeight="1">
      <c r="B219" s="203"/>
      <c r="E219" s="168"/>
      <c r="G219" s="168"/>
    </row>
    <row r="220" spans="2:7" ht="14.25" customHeight="1">
      <c r="B220" s="203"/>
      <c r="E220" s="168"/>
      <c r="G220" s="168"/>
    </row>
    <row r="221" spans="2:7" ht="14.25" customHeight="1">
      <c r="B221" s="203"/>
      <c r="E221" s="168"/>
      <c r="G221" s="168"/>
    </row>
    <row r="222" spans="2:7" ht="14.25" customHeight="1">
      <c r="E222" s="168"/>
      <c r="G222" s="168"/>
    </row>
    <row r="223" spans="2:7" ht="14.25" customHeight="1">
      <c r="E223" s="168"/>
      <c r="G223" s="168"/>
    </row>
    <row r="224" spans="2:7" ht="14.25" customHeight="1">
      <c r="E224" s="168"/>
      <c r="G224" s="168"/>
    </row>
    <row r="225" spans="5:7" ht="14.25" customHeight="1">
      <c r="E225" s="168"/>
      <c r="G225" s="168"/>
    </row>
    <row r="226" spans="5:7" ht="14.25" customHeight="1">
      <c r="E226" s="168"/>
      <c r="G226" s="168"/>
    </row>
    <row r="227" spans="5:7" ht="14.25" customHeight="1">
      <c r="E227" s="168"/>
      <c r="G227" s="168"/>
    </row>
    <row r="228" spans="5:7" ht="14.25" customHeight="1">
      <c r="E228" s="168"/>
      <c r="G228" s="168"/>
    </row>
    <row r="229" spans="5:7" ht="14.25" customHeight="1">
      <c r="E229" s="168"/>
      <c r="G229" s="168"/>
    </row>
    <row r="230" spans="5:7" ht="14.25" customHeight="1">
      <c r="E230" s="168"/>
      <c r="G230" s="168"/>
    </row>
    <row r="231" spans="5:7" ht="14.25" customHeight="1">
      <c r="E231" s="168"/>
      <c r="G231" s="168"/>
    </row>
    <row r="232" spans="5:7" ht="14.25" customHeight="1">
      <c r="E232" s="168"/>
      <c r="G232" s="168"/>
    </row>
    <row r="233" spans="5:7" ht="14.25" customHeight="1">
      <c r="E233" s="168"/>
      <c r="G233" s="168"/>
    </row>
    <row r="234" spans="5:7" ht="14.25" customHeight="1">
      <c r="E234" s="168"/>
      <c r="G234" s="168"/>
    </row>
    <row r="235" spans="5:7" ht="14.25" customHeight="1">
      <c r="E235" s="168"/>
      <c r="G235" s="168"/>
    </row>
    <row r="236" spans="5:7" ht="14.25" customHeight="1">
      <c r="E236" s="168"/>
      <c r="G236" s="168"/>
    </row>
    <row r="237" spans="5:7" ht="14.25" customHeight="1">
      <c r="E237" s="168"/>
      <c r="G237" s="168"/>
    </row>
    <row r="238" spans="5:7" ht="14.25" customHeight="1">
      <c r="E238" s="168"/>
      <c r="G238" s="168"/>
    </row>
    <row r="239" spans="5:7" ht="14.25" customHeight="1">
      <c r="E239" s="168"/>
      <c r="G239" s="168"/>
    </row>
    <row r="240" spans="5:7" ht="14.25" customHeight="1">
      <c r="E240" s="168"/>
      <c r="G240" s="168"/>
    </row>
    <row r="241" spans="5:7" ht="14.25" customHeight="1">
      <c r="E241" s="168"/>
      <c r="G241" s="168"/>
    </row>
    <row r="242" spans="5:7" ht="14.25" customHeight="1">
      <c r="E242" s="168"/>
      <c r="G242" s="168"/>
    </row>
    <row r="243" spans="5:7" ht="14.25" customHeight="1">
      <c r="E243" s="168"/>
      <c r="G243" s="168"/>
    </row>
    <row r="244" spans="5:7" ht="14.25" customHeight="1">
      <c r="E244" s="168"/>
      <c r="G244" s="168"/>
    </row>
    <row r="245" spans="5:7" ht="14.25" customHeight="1">
      <c r="E245" s="168"/>
      <c r="G245" s="168"/>
    </row>
    <row r="246" spans="5:7" ht="14.25" customHeight="1">
      <c r="E246" s="168"/>
      <c r="G246" s="168"/>
    </row>
    <row r="247" spans="5:7" ht="14.25" customHeight="1">
      <c r="E247" s="168"/>
      <c r="G247" s="168"/>
    </row>
    <row r="248" spans="5:7" ht="14.25" customHeight="1">
      <c r="E248" s="168"/>
      <c r="G248" s="168"/>
    </row>
    <row r="249" spans="5:7" ht="14.25" customHeight="1">
      <c r="E249" s="168"/>
      <c r="G249" s="168"/>
    </row>
    <row r="250" spans="5:7" ht="14.25" customHeight="1">
      <c r="E250" s="168"/>
      <c r="G250" s="168"/>
    </row>
    <row r="251" spans="5:7" ht="14.25" customHeight="1">
      <c r="E251" s="168"/>
      <c r="G251" s="168"/>
    </row>
    <row r="252" spans="5:7" ht="14.25" customHeight="1">
      <c r="E252" s="168"/>
      <c r="G252" s="168"/>
    </row>
    <row r="253" spans="5:7" ht="14.25" customHeight="1">
      <c r="E253" s="168"/>
      <c r="G253" s="168"/>
    </row>
    <row r="254" spans="5:7" ht="14.25" customHeight="1">
      <c r="E254" s="168"/>
      <c r="G254" s="168"/>
    </row>
    <row r="255" spans="5:7" ht="14.25" customHeight="1">
      <c r="E255" s="168"/>
      <c r="G255" s="168"/>
    </row>
    <row r="256" spans="5:7" ht="14.25" customHeight="1">
      <c r="E256" s="168"/>
      <c r="G256" s="168"/>
    </row>
    <row r="257" spans="5:7" ht="14.25" customHeight="1">
      <c r="E257" s="168"/>
      <c r="G257" s="168"/>
    </row>
    <row r="258" spans="5:7" ht="14.25" customHeight="1">
      <c r="E258" s="168"/>
      <c r="G258" s="168"/>
    </row>
    <row r="259" spans="5:7" ht="14.25" customHeight="1">
      <c r="E259" s="168"/>
      <c r="G259" s="168"/>
    </row>
    <row r="260" spans="5:7" ht="14.25" customHeight="1">
      <c r="E260" s="168"/>
      <c r="G260" s="168"/>
    </row>
    <row r="261" spans="5:7" ht="14.25" customHeight="1">
      <c r="E261" s="168"/>
      <c r="G261" s="168"/>
    </row>
    <row r="262" spans="5:7" ht="14.25" customHeight="1">
      <c r="E262" s="168"/>
      <c r="G262" s="168"/>
    </row>
    <row r="263" spans="5:7" ht="14.25" customHeight="1">
      <c r="E263" s="168"/>
      <c r="G263" s="168"/>
    </row>
    <row r="264" spans="5:7" ht="14.25" customHeight="1">
      <c r="E264" s="168"/>
      <c r="G264" s="168"/>
    </row>
    <row r="265" spans="5:7" ht="14.25" customHeight="1">
      <c r="E265" s="168"/>
      <c r="G265" s="168"/>
    </row>
    <row r="266" spans="5:7" ht="14.25" customHeight="1">
      <c r="E266" s="168"/>
      <c r="G266" s="168"/>
    </row>
    <row r="267" spans="5:7" ht="14.25" customHeight="1">
      <c r="E267" s="168"/>
      <c r="G267" s="168"/>
    </row>
    <row r="268" spans="5:7" ht="14.25" customHeight="1">
      <c r="E268" s="168"/>
      <c r="G268" s="168"/>
    </row>
    <row r="269" spans="5:7" ht="14.25" customHeight="1">
      <c r="E269" s="168"/>
      <c r="G269" s="168"/>
    </row>
    <row r="270" spans="5:7" ht="14.25" customHeight="1">
      <c r="E270" s="168"/>
      <c r="G270" s="168"/>
    </row>
    <row r="271" spans="5:7" ht="14.25" customHeight="1">
      <c r="E271" s="168"/>
      <c r="G271" s="168"/>
    </row>
    <row r="272" spans="5:7" ht="14.25" customHeight="1">
      <c r="E272" s="168"/>
      <c r="G272" s="168"/>
    </row>
    <row r="273" spans="5:7" ht="14.25" customHeight="1">
      <c r="E273" s="168"/>
      <c r="G273" s="168"/>
    </row>
    <row r="274" spans="5:7" ht="14.25" customHeight="1">
      <c r="E274" s="168"/>
      <c r="G274" s="168"/>
    </row>
    <row r="275" spans="5:7" ht="14.25" customHeight="1">
      <c r="E275" s="168"/>
      <c r="G275" s="168"/>
    </row>
    <row r="276" spans="5:7" ht="14.25" customHeight="1">
      <c r="E276" s="168"/>
      <c r="G276" s="168"/>
    </row>
    <row r="277" spans="5:7" ht="14.25" customHeight="1">
      <c r="E277" s="168"/>
      <c r="G277" s="168"/>
    </row>
    <row r="278" spans="5:7" ht="14.25" customHeight="1">
      <c r="E278" s="168"/>
      <c r="G278" s="168"/>
    </row>
    <row r="279" spans="5:7" ht="14.25" customHeight="1">
      <c r="E279" s="168"/>
      <c r="G279" s="168"/>
    </row>
    <row r="280" spans="5:7" ht="14.25" customHeight="1">
      <c r="E280" s="168"/>
      <c r="G280" s="168"/>
    </row>
    <row r="281" spans="5:7" ht="14.25" customHeight="1">
      <c r="E281" s="168"/>
      <c r="G281" s="168"/>
    </row>
    <row r="282" spans="5:7" ht="14.25" customHeight="1">
      <c r="E282" s="168"/>
      <c r="G282" s="168"/>
    </row>
    <row r="283" spans="5:7" ht="14.25" customHeight="1">
      <c r="E283" s="168"/>
      <c r="G283" s="168"/>
    </row>
    <row r="284" spans="5:7" ht="14.25" customHeight="1">
      <c r="E284" s="168"/>
      <c r="G284" s="168"/>
    </row>
    <row r="285" spans="5:7" ht="14.25" customHeight="1">
      <c r="E285" s="168"/>
      <c r="G285" s="168"/>
    </row>
    <row r="286" spans="5:7" ht="14.25" customHeight="1">
      <c r="E286" s="168"/>
      <c r="G286" s="168"/>
    </row>
    <row r="287" spans="5:7" ht="14.25" customHeight="1">
      <c r="E287" s="168"/>
      <c r="G287" s="168"/>
    </row>
    <row r="288" spans="5:7" ht="14.25" customHeight="1">
      <c r="E288" s="168"/>
      <c r="G288" s="168"/>
    </row>
    <row r="289" spans="5:7" ht="14.25" customHeight="1">
      <c r="E289" s="168"/>
      <c r="G289" s="168"/>
    </row>
    <row r="290" spans="5:7" ht="14.25" customHeight="1">
      <c r="E290" s="168"/>
      <c r="G290" s="168"/>
    </row>
    <row r="291" spans="5:7" ht="14.25" customHeight="1">
      <c r="E291" s="168"/>
      <c r="G291" s="168"/>
    </row>
    <row r="292" spans="5:7" ht="14.25" customHeight="1">
      <c r="E292" s="168"/>
      <c r="G292" s="168"/>
    </row>
    <row r="293" spans="5:7" ht="14.25" customHeight="1">
      <c r="E293" s="168"/>
      <c r="G293" s="168"/>
    </row>
    <row r="294" spans="5:7" ht="14.25" customHeight="1">
      <c r="E294" s="168"/>
      <c r="G294" s="168"/>
    </row>
    <row r="295" spans="5:7" ht="14.25" customHeight="1">
      <c r="E295" s="168"/>
      <c r="G295" s="168"/>
    </row>
    <row r="296" spans="5:7" ht="14.25" customHeight="1">
      <c r="E296" s="168"/>
      <c r="G296" s="168"/>
    </row>
    <row r="297" spans="5:7" ht="14.25" customHeight="1">
      <c r="E297" s="168"/>
      <c r="G297" s="168"/>
    </row>
    <row r="298" spans="5:7" ht="14.25" customHeight="1">
      <c r="E298" s="168"/>
      <c r="G298" s="168"/>
    </row>
    <row r="299" spans="5:7" ht="14.25" customHeight="1">
      <c r="E299" s="168"/>
      <c r="G299" s="168"/>
    </row>
    <row r="300" spans="5:7" ht="14.25" customHeight="1">
      <c r="E300" s="168"/>
      <c r="G300" s="168"/>
    </row>
    <row r="301" spans="5:7" ht="14.25" customHeight="1">
      <c r="E301" s="168"/>
      <c r="G301" s="168"/>
    </row>
    <row r="302" spans="5:7" ht="14.25" customHeight="1">
      <c r="E302" s="168"/>
      <c r="G302" s="168"/>
    </row>
    <row r="303" spans="5:7" ht="14.25" customHeight="1">
      <c r="E303" s="168"/>
      <c r="G303" s="168"/>
    </row>
    <row r="304" spans="5:7" ht="14.25" customHeight="1">
      <c r="E304" s="168"/>
      <c r="G304" s="168"/>
    </row>
    <row r="305" spans="5:7" ht="14.25" customHeight="1">
      <c r="E305" s="168"/>
      <c r="G305" s="168"/>
    </row>
    <row r="306" spans="5:7" ht="14.25" customHeight="1">
      <c r="E306" s="168"/>
      <c r="G306" s="168"/>
    </row>
    <row r="307" spans="5:7" ht="14.25" customHeight="1">
      <c r="E307" s="168"/>
      <c r="G307" s="168"/>
    </row>
    <row r="308" spans="5:7" ht="14.25" customHeight="1">
      <c r="E308" s="168"/>
      <c r="G308" s="168"/>
    </row>
    <row r="309" spans="5:7" ht="14.25" customHeight="1">
      <c r="E309" s="168"/>
      <c r="G309" s="168"/>
    </row>
    <row r="310" spans="5:7" ht="14.25" customHeight="1">
      <c r="E310" s="168"/>
      <c r="G310" s="168"/>
    </row>
    <row r="311" spans="5:7" ht="14.25" customHeight="1">
      <c r="E311" s="168"/>
      <c r="G311" s="168"/>
    </row>
    <row r="312" spans="5:7" ht="14.25" customHeight="1">
      <c r="E312" s="168"/>
      <c r="G312" s="168"/>
    </row>
    <row r="313" spans="5:7" ht="14.25" customHeight="1">
      <c r="E313" s="168"/>
      <c r="G313" s="168"/>
    </row>
    <row r="314" spans="5:7" ht="14.25" customHeight="1">
      <c r="E314" s="168"/>
      <c r="G314" s="168"/>
    </row>
    <row r="315" spans="5:7" ht="14.25" customHeight="1">
      <c r="E315" s="168"/>
      <c r="G315" s="168"/>
    </row>
    <row r="316" spans="5:7" ht="14.25" customHeight="1">
      <c r="E316" s="168"/>
      <c r="G316" s="168"/>
    </row>
    <row r="317" spans="5:7" ht="14.25" customHeight="1">
      <c r="E317" s="168"/>
      <c r="G317" s="168"/>
    </row>
    <row r="318" spans="5:7" ht="14.25" customHeight="1">
      <c r="E318" s="168"/>
      <c r="G318" s="168"/>
    </row>
    <row r="319" spans="5:7" ht="14.25" customHeight="1">
      <c r="E319" s="168"/>
      <c r="G319" s="168"/>
    </row>
    <row r="320" spans="5:7" ht="14.25" customHeight="1">
      <c r="E320" s="168"/>
      <c r="G320" s="168"/>
    </row>
    <row r="321" spans="5:7" ht="14.25" customHeight="1">
      <c r="E321" s="168"/>
      <c r="G321" s="168"/>
    </row>
    <row r="322" spans="5:7" ht="14.25" customHeight="1">
      <c r="E322" s="168"/>
      <c r="G322" s="168"/>
    </row>
    <row r="323" spans="5:7" ht="14.25" customHeight="1">
      <c r="E323" s="168"/>
      <c r="G323" s="168"/>
    </row>
    <row r="324" spans="5:7" ht="14.25" customHeight="1">
      <c r="E324" s="168"/>
      <c r="G324" s="168"/>
    </row>
    <row r="325" spans="5:7" ht="14.25" customHeight="1">
      <c r="E325" s="168"/>
      <c r="G325" s="168"/>
    </row>
    <row r="326" spans="5:7" ht="14.25" customHeight="1">
      <c r="E326" s="168"/>
      <c r="G326" s="168"/>
    </row>
    <row r="327" spans="5:7" ht="14.25" customHeight="1">
      <c r="E327" s="168"/>
      <c r="G327" s="168"/>
    </row>
    <row r="328" spans="5:7" ht="14.25" customHeight="1">
      <c r="E328" s="168"/>
      <c r="G328" s="168"/>
    </row>
    <row r="329" spans="5:7" ht="14.25" customHeight="1">
      <c r="E329" s="168"/>
      <c r="G329" s="168"/>
    </row>
    <row r="330" spans="5:7" ht="14.25" customHeight="1">
      <c r="E330" s="168"/>
      <c r="G330" s="168"/>
    </row>
    <row r="331" spans="5:7" ht="14.25" customHeight="1">
      <c r="E331" s="168"/>
      <c r="G331" s="168"/>
    </row>
    <row r="332" spans="5:7" ht="14.25" customHeight="1">
      <c r="E332" s="168"/>
      <c r="G332" s="168"/>
    </row>
    <row r="333" spans="5:7" ht="14.25" customHeight="1">
      <c r="E333" s="168"/>
      <c r="G333" s="168"/>
    </row>
    <row r="334" spans="5:7" ht="14.25" customHeight="1">
      <c r="E334" s="168"/>
      <c r="G334" s="168"/>
    </row>
    <row r="335" spans="5:7" ht="14.25" customHeight="1">
      <c r="E335" s="168"/>
      <c r="G335" s="168"/>
    </row>
    <row r="336" spans="5:7" ht="14.25" customHeight="1">
      <c r="E336" s="168"/>
      <c r="G336" s="168"/>
    </row>
    <row r="337" spans="5:7" ht="14.25" customHeight="1">
      <c r="E337" s="168"/>
      <c r="G337" s="168"/>
    </row>
    <row r="338" spans="5:7" ht="14.25" customHeight="1">
      <c r="E338" s="168"/>
      <c r="G338" s="168"/>
    </row>
    <row r="339" spans="5:7" ht="14.25" customHeight="1">
      <c r="E339" s="168"/>
      <c r="G339" s="168"/>
    </row>
    <row r="340" spans="5:7" ht="14.25" customHeight="1">
      <c r="E340" s="168"/>
      <c r="G340" s="168"/>
    </row>
    <row r="341" spans="5:7" ht="14.25" customHeight="1">
      <c r="E341" s="168"/>
      <c r="G341" s="168"/>
    </row>
    <row r="342" spans="5:7" ht="14.25" customHeight="1">
      <c r="E342" s="168"/>
      <c r="G342" s="168"/>
    </row>
    <row r="343" spans="5:7" ht="14.25" customHeight="1">
      <c r="E343" s="168"/>
      <c r="G343" s="168"/>
    </row>
    <row r="344" spans="5:7" ht="14.25" customHeight="1">
      <c r="E344" s="168"/>
      <c r="G344" s="168"/>
    </row>
    <row r="345" spans="5:7" ht="14.25" customHeight="1">
      <c r="E345" s="168"/>
      <c r="G345" s="168"/>
    </row>
    <row r="346" spans="5:7" ht="14.25" customHeight="1">
      <c r="E346" s="168"/>
      <c r="G346" s="168"/>
    </row>
    <row r="347" spans="5:7" ht="14.25" customHeight="1">
      <c r="E347" s="168"/>
      <c r="G347" s="168"/>
    </row>
    <row r="348" spans="5:7" ht="14.25" customHeight="1">
      <c r="E348" s="168"/>
      <c r="G348" s="168"/>
    </row>
    <row r="349" spans="5:7" ht="14.25" customHeight="1">
      <c r="E349" s="168"/>
      <c r="G349" s="168"/>
    </row>
    <row r="350" spans="5:7" ht="14.25" customHeight="1">
      <c r="E350" s="168"/>
      <c r="G350" s="168"/>
    </row>
    <row r="351" spans="5:7" ht="14.25" customHeight="1">
      <c r="E351" s="168"/>
      <c r="G351" s="168"/>
    </row>
    <row r="352" spans="5:7" ht="14.25" customHeight="1">
      <c r="E352" s="168"/>
      <c r="G352" s="168"/>
    </row>
    <row r="353" spans="5:7" ht="14.25" customHeight="1">
      <c r="E353" s="168"/>
      <c r="G353" s="168"/>
    </row>
    <row r="354" spans="5:7" ht="14.25" customHeight="1">
      <c r="E354" s="168"/>
      <c r="G354" s="168"/>
    </row>
    <row r="355" spans="5:7" ht="14.25" customHeight="1">
      <c r="E355" s="168"/>
      <c r="G355" s="168"/>
    </row>
    <row r="356" spans="5:7" ht="14.25" customHeight="1">
      <c r="E356" s="168"/>
      <c r="G356" s="168"/>
    </row>
    <row r="357" spans="5:7" ht="14.25" customHeight="1">
      <c r="E357" s="168"/>
      <c r="G357" s="168"/>
    </row>
    <row r="358" spans="5:7" ht="14.25" customHeight="1">
      <c r="E358" s="168"/>
      <c r="G358" s="168"/>
    </row>
    <row r="359" spans="5:7" ht="14.25" customHeight="1">
      <c r="E359" s="168"/>
      <c r="G359" s="168"/>
    </row>
    <row r="360" spans="5:7" ht="14.25" customHeight="1">
      <c r="E360" s="168"/>
      <c r="G360" s="168"/>
    </row>
    <row r="361" spans="5:7" ht="14.25" customHeight="1">
      <c r="E361" s="168"/>
      <c r="G361" s="168"/>
    </row>
    <row r="362" spans="5:7" ht="14.25" customHeight="1">
      <c r="E362" s="168"/>
      <c r="G362" s="168"/>
    </row>
    <row r="363" spans="5:7" ht="14.25" customHeight="1">
      <c r="E363" s="168"/>
      <c r="G363" s="168"/>
    </row>
    <row r="364" spans="5:7" ht="14.25" customHeight="1">
      <c r="E364" s="168"/>
      <c r="G364" s="168"/>
    </row>
    <row r="365" spans="5:7" ht="14.25" customHeight="1">
      <c r="E365" s="168"/>
      <c r="G365" s="168"/>
    </row>
    <row r="366" spans="5:7" ht="14.25" customHeight="1">
      <c r="E366" s="168"/>
      <c r="G366" s="168"/>
    </row>
    <row r="367" spans="5:7" ht="14.25" customHeight="1">
      <c r="E367" s="168"/>
      <c r="G367" s="168"/>
    </row>
    <row r="368" spans="5:7" ht="14.25" customHeight="1">
      <c r="E368" s="168"/>
      <c r="G368" s="168"/>
    </row>
    <row r="369" spans="5:7" ht="14.25" customHeight="1">
      <c r="E369" s="168"/>
      <c r="G369" s="168"/>
    </row>
    <row r="370" spans="5:7" ht="14.25" customHeight="1">
      <c r="E370" s="168"/>
      <c r="G370" s="168"/>
    </row>
    <row r="371" spans="5:7" ht="14.25" customHeight="1">
      <c r="E371" s="168"/>
      <c r="G371" s="168"/>
    </row>
    <row r="372" spans="5:7" ht="14.25" customHeight="1">
      <c r="E372" s="168"/>
      <c r="G372" s="168"/>
    </row>
    <row r="373" spans="5:7" ht="14.25" customHeight="1">
      <c r="E373" s="168"/>
      <c r="G373" s="168"/>
    </row>
    <row r="374" spans="5:7" ht="14.25" customHeight="1">
      <c r="E374" s="168"/>
      <c r="G374" s="168"/>
    </row>
    <row r="375" spans="5:7" ht="14.25" customHeight="1">
      <c r="E375" s="168"/>
      <c r="G375" s="168"/>
    </row>
    <row r="376" spans="5:7" ht="14.25" customHeight="1">
      <c r="E376" s="168"/>
      <c r="G376" s="168"/>
    </row>
    <row r="377" spans="5:7" ht="14.25" customHeight="1">
      <c r="E377" s="168"/>
      <c r="G377" s="168"/>
    </row>
    <row r="378" spans="5:7" ht="14.25" customHeight="1">
      <c r="E378" s="168"/>
      <c r="G378" s="168"/>
    </row>
    <row r="379" spans="5:7" ht="14.25" customHeight="1">
      <c r="E379" s="168"/>
      <c r="G379" s="168"/>
    </row>
    <row r="380" spans="5:7" ht="14.25" customHeight="1">
      <c r="E380" s="168"/>
      <c r="G380" s="168"/>
    </row>
    <row r="381" spans="5:7" ht="14.25" customHeight="1">
      <c r="E381" s="168"/>
      <c r="G381" s="168"/>
    </row>
    <row r="382" spans="5:7" ht="14.25" customHeight="1">
      <c r="E382" s="168"/>
      <c r="G382" s="168"/>
    </row>
    <row r="383" spans="5:7" ht="14.25" customHeight="1">
      <c r="E383" s="168"/>
      <c r="G383" s="168"/>
    </row>
    <row r="384" spans="5:7" ht="14.25" customHeight="1">
      <c r="E384" s="168"/>
      <c r="G384" s="168"/>
    </row>
    <row r="385" spans="5:7" ht="14.25" customHeight="1">
      <c r="E385" s="168"/>
      <c r="G385" s="168"/>
    </row>
    <row r="386" spans="5:7" ht="14.25" customHeight="1">
      <c r="E386" s="168"/>
      <c r="G386" s="168"/>
    </row>
    <row r="387" spans="5:7" ht="14.25" customHeight="1">
      <c r="E387" s="168"/>
      <c r="G387" s="168"/>
    </row>
    <row r="388" spans="5:7" ht="14.25" customHeight="1">
      <c r="E388" s="168"/>
      <c r="G388" s="168"/>
    </row>
    <row r="389" spans="5:7" ht="14.25" customHeight="1">
      <c r="E389" s="168"/>
      <c r="G389" s="168"/>
    </row>
    <row r="390" spans="5:7" ht="14.25" customHeight="1">
      <c r="E390" s="168"/>
      <c r="G390" s="168"/>
    </row>
    <row r="391" spans="5:7" ht="14.25" customHeight="1">
      <c r="E391" s="168"/>
      <c r="G391" s="168"/>
    </row>
    <row r="392" spans="5:7" ht="14.25" customHeight="1">
      <c r="E392" s="168"/>
      <c r="G392" s="168"/>
    </row>
    <row r="393" spans="5:7" ht="14.25" customHeight="1">
      <c r="E393" s="168"/>
      <c r="G393" s="168"/>
    </row>
    <row r="394" spans="5:7" ht="14.25" customHeight="1">
      <c r="E394" s="168"/>
      <c r="G394" s="168"/>
    </row>
    <row r="395" spans="5:7" ht="14.25" customHeight="1">
      <c r="E395" s="168"/>
      <c r="G395" s="168"/>
    </row>
    <row r="396" spans="5:7" ht="14.25" customHeight="1">
      <c r="E396" s="168"/>
      <c r="G396" s="168"/>
    </row>
    <row r="397" spans="5:7" ht="14.25" customHeight="1">
      <c r="E397" s="168"/>
      <c r="G397" s="168"/>
    </row>
    <row r="398" spans="5:7" ht="14.25" customHeight="1">
      <c r="E398" s="168"/>
      <c r="G398" s="168"/>
    </row>
    <row r="399" spans="5:7" ht="14.25" customHeight="1">
      <c r="E399" s="168"/>
      <c r="G399" s="168"/>
    </row>
    <row r="400" spans="5:7" ht="14.25" customHeight="1">
      <c r="E400" s="168"/>
      <c r="G400" s="168"/>
    </row>
    <row r="401" spans="5:7" ht="14.25" customHeight="1">
      <c r="E401" s="168"/>
      <c r="G401" s="168"/>
    </row>
    <row r="402" spans="5:7" ht="14.25" customHeight="1">
      <c r="E402" s="168"/>
      <c r="G402" s="168"/>
    </row>
    <row r="403" spans="5:7" ht="14.25" customHeight="1">
      <c r="E403" s="168"/>
      <c r="G403" s="168"/>
    </row>
    <row r="404" spans="5:7" ht="14.25" customHeight="1">
      <c r="E404" s="168"/>
      <c r="G404" s="168"/>
    </row>
    <row r="405" spans="5:7" ht="14.25" customHeight="1">
      <c r="E405" s="168"/>
      <c r="G405" s="168"/>
    </row>
    <row r="406" spans="5:7" ht="14.25" customHeight="1">
      <c r="E406" s="168"/>
      <c r="G406" s="168"/>
    </row>
    <row r="407" spans="5:7" ht="14.25" customHeight="1">
      <c r="E407" s="168"/>
      <c r="G407" s="168"/>
    </row>
    <row r="408" spans="5:7" ht="14.25" customHeight="1">
      <c r="E408" s="168"/>
      <c r="G408" s="168"/>
    </row>
    <row r="409" spans="5:7" ht="14.25" customHeight="1">
      <c r="E409" s="168"/>
      <c r="G409" s="168"/>
    </row>
    <row r="410" spans="5:7" ht="14.25" customHeight="1">
      <c r="E410" s="168"/>
      <c r="G410" s="168"/>
    </row>
    <row r="411" spans="5:7" ht="14.25" customHeight="1">
      <c r="E411" s="168"/>
      <c r="G411" s="168"/>
    </row>
    <row r="412" spans="5:7" ht="14.25" customHeight="1">
      <c r="E412" s="168"/>
      <c r="G412" s="168"/>
    </row>
    <row r="413" spans="5:7" ht="14.25" customHeight="1">
      <c r="E413" s="168"/>
      <c r="G413" s="168"/>
    </row>
    <row r="414" spans="5:7" ht="14.25" customHeight="1">
      <c r="E414" s="168"/>
      <c r="G414" s="168"/>
    </row>
    <row r="415" spans="5:7" ht="14.25" customHeight="1">
      <c r="E415" s="168"/>
      <c r="G415" s="168"/>
    </row>
    <row r="416" spans="5:7" ht="14.25" customHeight="1">
      <c r="E416" s="168"/>
      <c r="G416" s="168"/>
    </row>
    <row r="417" spans="5:7" ht="14.25" customHeight="1">
      <c r="E417" s="168"/>
      <c r="G417" s="168"/>
    </row>
    <row r="418" spans="5:7" ht="14.25" customHeight="1">
      <c r="E418" s="168"/>
      <c r="G418" s="168"/>
    </row>
    <row r="419" spans="5:7" ht="14.25" customHeight="1">
      <c r="E419" s="168"/>
      <c r="G419" s="168"/>
    </row>
    <row r="420" spans="5:7" ht="14.25" customHeight="1">
      <c r="E420" s="168"/>
      <c r="G420" s="168"/>
    </row>
    <row r="421" spans="5:7" ht="14.25" customHeight="1">
      <c r="E421" s="168"/>
      <c r="G421" s="168"/>
    </row>
    <row r="422" spans="5:7" ht="14.25" customHeight="1">
      <c r="E422" s="168"/>
      <c r="G422" s="168"/>
    </row>
    <row r="423" spans="5:7" ht="14.25" customHeight="1">
      <c r="E423" s="168"/>
      <c r="G423" s="168"/>
    </row>
    <row r="424" spans="5:7" ht="14.25" customHeight="1">
      <c r="E424" s="168"/>
      <c r="G424" s="168"/>
    </row>
    <row r="425" spans="5:7" ht="14.25" customHeight="1">
      <c r="E425" s="168"/>
      <c r="G425" s="168"/>
    </row>
    <row r="426" spans="5:7" ht="14.25" customHeight="1">
      <c r="E426" s="168"/>
      <c r="G426" s="168"/>
    </row>
    <row r="427" spans="5:7" ht="14.25" customHeight="1">
      <c r="E427" s="168"/>
      <c r="G427" s="168"/>
    </row>
    <row r="428" spans="5:7" ht="14.25" customHeight="1">
      <c r="E428" s="168"/>
      <c r="G428" s="168"/>
    </row>
    <row r="429" spans="5:7" ht="14.25" customHeight="1">
      <c r="E429" s="168"/>
      <c r="G429" s="168"/>
    </row>
    <row r="430" spans="5:7" ht="14.25" customHeight="1">
      <c r="E430" s="168"/>
      <c r="G430" s="168"/>
    </row>
    <row r="431" spans="5:7" ht="14.25" customHeight="1">
      <c r="E431" s="168"/>
      <c r="G431" s="168"/>
    </row>
    <row r="432" spans="5:7" ht="14.25" customHeight="1">
      <c r="E432" s="168"/>
      <c r="G432" s="168"/>
    </row>
    <row r="433" spans="5:7" ht="14.25" customHeight="1">
      <c r="E433" s="168"/>
      <c r="G433" s="168"/>
    </row>
    <row r="434" spans="5:7" ht="14.25" customHeight="1">
      <c r="E434" s="168"/>
      <c r="G434" s="168"/>
    </row>
    <row r="435" spans="5:7" ht="14.25" customHeight="1">
      <c r="E435" s="168"/>
      <c r="G435" s="168"/>
    </row>
    <row r="436" spans="5:7" ht="14.25" customHeight="1">
      <c r="E436" s="168"/>
      <c r="G436" s="168"/>
    </row>
    <row r="437" spans="5:7" ht="14.25" customHeight="1">
      <c r="E437" s="168"/>
      <c r="G437" s="168"/>
    </row>
    <row r="438" spans="5:7" ht="14.25" customHeight="1">
      <c r="E438" s="168"/>
      <c r="G438" s="168"/>
    </row>
    <row r="439" spans="5:7" ht="14.25" customHeight="1">
      <c r="E439" s="168"/>
      <c r="G439" s="168"/>
    </row>
    <row r="440" spans="5:7" ht="14.25" customHeight="1">
      <c r="E440" s="168"/>
      <c r="G440" s="168"/>
    </row>
    <row r="441" spans="5:7" ht="14.25" customHeight="1">
      <c r="E441" s="168"/>
      <c r="G441" s="168"/>
    </row>
    <row r="442" spans="5:7" ht="14.25" customHeight="1">
      <c r="E442" s="168"/>
      <c r="G442" s="168"/>
    </row>
    <row r="443" spans="5:7" ht="14.25" customHeight="1">
      <c r="E443" s="168"/>
      <c r="G443" s="168"/>
    </row>
    <row r="444" spans="5:7" ht="14.25" customHeight="1">
      <c r="E444" s="168"/>
      <c r="G444" s="168"/>
    </row>
    <row r="445" spans="5:7" ht="14.25" customHeight="1">
      <c r="E445" s="168"/>
      <c r="G445" s="168"/>
    </row>
    <row r="446" spans="5:7" ht="14.25" customHeight="1">
      <c r="E446" s="168"/>
      <c r="G446" s="168"/>
    </row>
    <row r="447" spans="5:7" ht="14.25" customHeight="1">
      <c r="E447" s="168"/>
      <c r="G447" s="168"/>
    </row>
    <row r="448" spans="5:7" ht="14.25" customHeight="1">
      <c r="E448" s="168"/>
      <c r="G448" s="168"/>
    </row>
    <row r="449" spans="5:7" ht="14.25" customHeight="1">
      <c r="E449" s="168"/>
      <c r="G449" s="168"/>
    </row>
    <row r="450" spans="5:7" ht="14.25" customHeight="1">
      <c r="E450" s="168"/>
      <c r="G450" s="168"/>
    </row>
    <row r="451" spans="5:7" ht="14.25" customHeight="1">
      <c r="E451" s="168"/>
      <c r="G451" s="168"/>
    </row>
    <row r="452" spans="5:7" ht="14.25" customHeight="1">
      <c r="E452" s="168"/>
      <c r="G452" s="168"/>
    </row>
    <row r="453" spans="5:7" ht="14.25" customHeight="1">
      <c r="E453" s="168"/>
      <c r="G453" s="168"/>
    </row>
    <row r="454" spans="5:7" ht="14.25" customHeight="1">
      <c r="E454" s="168"/>
      <c r="G454" s="168"/>
    </row>
    <row r="455" spans="5:7" ht="14.25" customHeight="1">
      <c r="E455" s="168"/>
      <c r="G455" s="168"/>
    </row>
    <row r="456" spans="5:7" ht="14.25" customHeight="1">
      <c r="E456" s="168"/>
      <c r="G456" s="168"/>
    </row>
    <row r="457" spans="5:7" ht="14.25" customHeight="1">
      <c r="E457" s="168"/>
      <c r="G457" s="168"/>
    </row>
    <row r="458" spans="5:7" ht="14.25" customHeight="1">
      <c r="E458" s="168"/>
      <c r="G458" s="168"/>
    </row>
    <row r="459" spans="5:7" ht="14.25" customHeight="1">
      <c r="E459" s="168"/>
      <c r="G459" s="168"/>
    </row>
    <row r="460" spans="5:7" ht="14.25" customHeight="1">
      <c r="E460" s="168"/>
      <c r="G460" s="168"/>
    </row>
    <row r="461" spans="5:7" ht="14.25" customHeight="1">
      <c r="E461" s="168"/>
      <c r="G461" s="168"/>
    </row>
    <row r="462" spans="5:7" ht="14.25" customHeight="1">
      <c r="E462" s="168"/>
      <c r="G462" s="168"/>
    </row>
    <row r="463" spans="5:7" ht="14.25" customHeight="1">
      <c r="E463" s="168"/>
      <c r="G463" s="168"/>
    </row>
    <row r="464" spans="5:7" ht="14.25" customHeight="1">
      <c r="E464" s="168"/>
      <c r="G464" s="168"/>
    </row>
    <row r="465" spans="5:7" ht="14.25" customHeight="1">
      <c r="E465" s="168"/>
      <c r="G465" s="168"/>
    </row>
    <row r="466" spans="5:7" ht="14.25" customHeight="1">
      <c r="E466" s="168"/>
      <c r="G466" s="168"/>
    </row>
    <row r="467" spans="5:7" ht="14.25" customHeight="1">
      <c r="E467" s="168"/>
      <c r="G467" s="168"/>
    </row>
    <row r="468" spans="5:7" ht="14.25" customHeight="1">
      <c r="E468" s="168"/>
      <c r="G468" s="168"/>
    </row>
    <row r="469" spans="5:7" ht="14.25" customHeight="1">
      <c r="E469" s="168"/>
      <c r="G469" s="168"/>
    </row>
    <row r="470" spans="5:7" ht="14.25" customHeight="1">
      <c r="E470" s="168"/>
      <c r="G470" s="168"/>
    </row>
    <row r="471" spans="5:7" ht="14.25" customHeight="1">
      <c r="E471" s="168"/>
      <c r="G471" s="168"/>
    </row>
    <row r="472" spans="5:7" ht="14.25" customHeight="1">
      <c r="E472" s="168"/>
      <c r="G472" s="168"/>
    </row>
    <row r="473" spans="5:7" ht="14.25" customHeight="1">
      <c r="E473" s="168"/>
      <c r="G473" s="168"/>
    </row>
    <row r="474" spans="5:7" ht="14.25" customHeight="1">
      <c r="E474" s="168"/>
      <c r="G474" s="168"/>
    </row>
    <row r="475" spans="5:7" ht="14.25" customHeight="1">
      <c r="E475" s="168"/>
      <c r="G475" s="168"/>
    </row>
    <row r="476" spans="5:7" ht="14.25" customHeight="1">
      <c r="E476" s="168"/>
      <c r="G476" s="168"/>
    </row>
    <row r="477" spans="5:7" ht="14.25" customHeight="1">
      <c r="E477" s="168"/>
      <c r="G477" s="168"/>
    </row>
    <row r="478" spans="5:7" ht="14.25" customHeight="1">
      <c r="E478" s="168"/>
      <c r="G478" s="168"/>
    </row>
    <row r="479" spans="5:7" ht="14.25" customHeight="1">
      <c r="E479" s="168"/>
      <c r="G479" s="168"/>
    </row>
    <row r="480" spans="5:7" ht="14.25" customHeight="1">
      <c r="E480" s="168"/>
      <c r="G480" s="168"/>
    </row>
    <row r="481" spans="5:7" ht="14.25" customHeight="1">
      <c r="E481" s="168"/>
      <c r="G481" s="168"/>
    </row>
    <row r="482" spans="5:7" ht="14.25" customHeight="1">
      <c r="E482" s="168"/>
      <c r="G482" s="168"/>
    </row>
    <row r="483" spans="5:7" ht="14.25" customHeight="1">
      <c r="E483" s="168"/>
      <c r="G483" s="168"/>
    </row>
    <row r="484" spans="5:7" ht="14.25" customHeight="1">
      <c r="E484" s="168"/>
      <c r="G484" s="168"/>
    </row>
    <row r="485" spans="5:7" ht="14.25" customHeight="1">
      <c r="E485" s="168"/>
      <c r="G485" s="168"/>
    </row>
    <row r="486" spans="5:7" ht="14.25" customHeight="1">
      <c r="E486" s="168"/>
      <c r="G486" s="168"/>
    </row>
    <row r="487" spans="5:7" ht="14.25" customHeight="1">
      <c r="E487" s="168"/>
      <c r="G487" s="168"/>
    </row>
    <row r="488" spans="5:7" ht="14.25" customHeight="1">
      <c r="E488" s="168"/>
      <c r="G488" s="168"/>
    </row>
    <row r="489" spans="5:7" ht="14.25" customHeight="1">
      <c r="E489" s="168"/>
      <c r="G489" s="168"/>
    </row>
    <row r="490" spans="5:7" ht="14.25" customHeight="1">
      <c r="E490" s="168"/>
      <c r="G490" s="168"/>
    </row>
    <row r="491" spans="5:7" ht="14.25" customHeight="1">
      <c r="E491" s="168"/>
      <c r="G491" s="168"/>
    </row>
    <row r="492" spans="5:7" ht="14.25" customHeight="1">
      <c r="E492" s="168"/>
      <c r="G492" s="168"/>
    </row>
    <row r="493" spans="5:7" ht="14.25" customHeight="1">
      <c r="E493" s="168"/>
      <c r="G493" s="168"/>
    </row>
    <row r="494" spans="5:7" ht="14.25" customHeight="1">
      <c r="E494" s="168"/>
      <c r="G494" s="168"/>
    </row>
    <row r="495" spans="5:7" ht="14.25" customHeight="1">
      <c r="E495" s="168"/>
      <c r="G495" s="168"/>
    </row>
    <row r="496" spans="5:7" ht="14.25" customHeight="1">
      <c r="E496" s="168"/>
      <c r="G496" s="168"/>
    </row>
    <row r="497" spans="5:7" ht="14.25" customHeight="1">
      <c r="E497" s="168"/>
      <c r="G497" s="168"/>
    </row>
    <row r="498" spans="5:7" ht="14.25" customHeight="1">
      <c r="E498" s="168"/>
      <c r="G498" s="168"/>
    </row>
    <row r="499" spans="5:7" ht="14.25" customHeight="1">
      <c r="E499" s="168"/>
      <c r="G499" s="168"/>
    </row>
    <row r="500" spans="5:7" ht="14.25" customHeight="1">
      <c r="E500" s="168"/>
      <c r="G500" s="168"/>
    </row>
    <row r="501" spans="5:7" ht="14.25" customHeight="1">
      <c r="E501" s="168"/>
      <c r="G501" s="168"/>
    </row>
    <row r="502" spans="5:7" ht="14.25" customHeight="1">
      <c r="E502" s="168"/>
      <c r="G502" s="168"/>
    </row>
    <row r="503" spans="5:7" ht="14.25" customHeight="1">
      <c r="E503" s="168"/>
      <c r="G503" s="168"/>
    </row>
    <row r="504" spans="5:7" ht="14.25" customHeight="1">
      <c r="E504" s="168"/>
      <c r="G504" s="168"/>
    </row>
    <row r="505" spans="5:7" ht="14.25" customHeight="1">
      <c r="E505" s="168"/>
      <c r="G505" s="168"/>
    </row>
    <row r="506" spans="5:7" ht="14.25" customHeight="1">
      <c r="E506" s="168"/>
      <c r="G506" s="168"/>
    </row>
    <row r="507" spans="5:7" ht="14.25" customHeight="1">
      <c r="E507" s="168"/>
      <c r="G507" s="168"/>
    </row>
    <row r="508" spans="5:7" ht="14.25" customHeight="1">
      <c r="E508" s="168"/>
      <c r="G508" s="168"/>
    </row>
    <row r="509" spans="5:7" ht="14.25" customHeight="1">
      <c r="E509" s="168"/>
      <c r="G509" s="168"/>
    </row>
    <row r="510" spans="5:7" ht="14.25" customHeight="1">
      <c r="E510" s="168"/>
      <c r="G510" s="168"/>
    </row>
    <row r="511" spans="5:7" ht="14.25" customHeight="1">
      <c r="E511" s="168"/>
      <c r="G511" s="168"/>
    </row>
    <row r="512" spans="5:7" ht="14.25" customHeight="1">
      <c r="E512" s="168"/>
      <c r="G512" s="168"/>
    </row>
    <row r="513" spans="5:7" ht="14.25" customHeight="1">
      <c r="E513" s="168"/>
      <c r="G513" s="168"/>
    </row>
    <row r="514" spans="5:7" ht="14.25" customHeight="1">
      <c r="E514" s="168"/>
      <c r="G514" s="168"/>
    </row>
    <row r="515" spans="5:7" ht="14.25" customHeight="1">
      <c r="E515" s="168"/>
      <c r="G515" s="168"/>
    </row>
    <row r="516" spans="5:7" ht="14.25" customHeight="1">
      <c r="E516" s="168"/>
      <c r="G516" s="168"/>
    </row>
    <row r="517" spans="5:7" ht="14.25" customHeight="1">
      <c r="E517" s="168"/>
      <c r="G517" s="168"/>
    </row>
    <row r="518" spans="5:7" ht="14.25" customHeight="1">
      <c r="E518" s="168"/>
      <c r="G518" s="168"/>
    </row>
    <row r="519" spans="5:7" ht="14.25" customHeight="1">
      <c r="E519" s="168"/>
      <c r="G519" s="168"/>
    </row>
    <row r="520" spans="5:7" ht="14.25" customHeight="1">
      <c r="E520" s="168"/>
      <c r="G520" s="168"/>
    </row>
    <row r="521" spans="5:7" ht="14.25" customHeight="1">
      <c r="E521" s="168"/>
      <c r="G521" s="168"/>
    </row>
    <row r="522" spans="5:7" ht="14.25" customHeight="1">
      <c r="E522" s="168"/>
      <c r="G522" s="168"/>
    </row>
    <row r="523" spans="5:7" ht="14.25" customHeight="1">
      <c r="E523" s="168"/>
      <c r="G523" s="168"/>
    </row>
    <row r="524" spans="5:7" ht="14.25" customHeight="1">
      <c r="E524" s="168"/>
      <c r="G524" s="168"/>
    </row>
    <row r="525" spans="5:7" ht="14.25" customHeight="1">
      <c r="E525" s="168"/>
      <c r="G525" s="168"/>
    </row>
    <row r="526" spans="5:7" ht="14.25" customHeight="1">
      <c r="E526" s="168"/>
      <c r="G526" s="168"/>
    </row>
    <row r="527" spans="5:7" ht="14.25" customHeight="1">
      <c r="E527" s="168"/>
      <c r="G527" s="168"/>
    </row>
    <row r="528" spans="5:7" ht="14.25" customHeight="1">
      <c r="E528" s="168"/>
      <c r="G528" s="168"/>
    </row>
    <row r="529" spans="5:7" ht="14.25" customHeight="1">
      <c r="E529" s="168"/>
      <c r="G529" s="168"/>
    </row>
    <row r="530" spans="5:7" ht="14.25" customHeight="1">
      <c r="E530" s="168"/>
      <c r="G530" s="168"/>
    </row>
    <row r="531" spans="5:7" ht="14.25" customHeight="1">
      <c r="E531" s="168"/>
      <c r="G531" s="168"/>
    </row>
    <row r="532" spans="5:7" ht="14.25" customHeight="1">
      <c r="E532" s="168"/>
      <c r="G532" s="168"/>
    </row>
    <row r="533" spans="5:7" ht="14.25" customHeight="1">
      <c r="E533" s="168"/>
      <c r="G533" s="168"/>
    </row>
    <row r="534" spans="5:7" ht="14.25" customHeight="1">
      <c r="E534" s="168"/>
      <c r="G534" s="168"/>
    </row>
    <row r="535" spans="5:7" ht="14.25" customHeight="1">
      <c r="E535" s="168"/>
      <c r="G535" s="168"/>
    </row>
    <row r="536" spans="5:7" ht="14.25" customHeight="1">
      <c r="E536" s="168"/>
      <c r="G536" s="168"/>
    </row>
    <row r="537" spans="5:7" ht="14.25" customHeight="1">
      <c r="E537" s="168"/>
      <c r="G537" s="168"/>
    </row>
    <row r="538" spans="5:7" ht="14.25" customHeight="1">
      <c r="E538" s="168"/>
      <c r="G538" s="168"/>
    </row>
    <row r="539" spans="5:7" ht="14.25" customHeight="1">
      <c r="E539" s="168"/>
      <c r="G539" s="168"/>
    </row>
    <row r="540" spans="5:7" ht="14.25" customHeight="1">
      <c r="E540" s="168"/>
      <c r="G540" s="168"/>
    </row>
    <row r="541" spans="5:7" ht="14.25" customHeight="1">
      <c r="E541" s="168"/>
      <c r="G541" s="168"/>
    </row>
    <row r="542" spans="5:7" ht="14.25" customHeight="1">
      <c r="E542" s="168"/>
      <c r="G542" s="168"/>
    </row>
    <row r="543" spans="5:7" ht="14.25" customHeight="1">
      <c r="E543" s="168"/>
      <c r="G543" s="168"/>
    </row>
    <row r="544" spans="5:7" ht="14.25" customHeight="1">
      <c r="E544" s="168"/>
      <c r="G544" s="168"/>
    </row>
    <row r="545" spans="5:7" ht="14.25" customHeight="1">
      <c r="E545" s="168"/>
      <c r="G545" s="168"/>
    </row>
    <row r="546" spans="5:7" ht="14.25" customHeight="1">
      <c r="E546" s="168"/>
      <c r="G546" s="168"/>
    </row>
    <row r="547" spans="5:7" ht="14.25" customHeight="1">
      <c r="E547" s="168"/>
      <c r="G547" s="168"/>
    </row>
    <row r="548" spans="5:7" ht="14.25" customHeight="1">
      <c r="E548" s="168"/>
      <c r="G548" s="168"/>
    </row>
    <row r="549" spans="5:7" ht="14.25" customHeight="1">
      <c r="E549" s="168"/>
      <c r="G549" s="168"/>
    </row>
    <row r="550" spans="5:7" ht="14.25" customHeight="1">
      <c r="E550" s="168"/>
      <c r="G550" s="168"/>
    </row>
    <row r="551" spans="5:7" ht="14.25" customHeight="1">
      <c r="E551" s="168"/>
      <c r="G551" s="168"/>
    </row>
    <row r="552" spans="5:7" ht="14.25" customHeight="1">
      <c r="E552" s="168"/>
      <c r="G552" s="168"/>
    </row>
    <row r="553" spans="5:7" ht="14.25" customHeight="1">
      <c r="E553" s="168"/>
      <c r="G553" s="168"/>
    </row>
    <row r="554" spans="5:7" ht="14.25" customHeight="1">
      <c r="E554" s="168"/>
      <c r="G554" s="168"/>
    </row>
    <row r="555" spans="5:7" ht="14.25" customHeight="1">
      <c r="E555" s="168"/>
      <c r="G555" s="168"/>
    </row>
    <row r="556" spans="5:7" ht="14.25" customHeight="1">
      <c r="E556" s="168"/>
      <c r="G556" s="168"/>
    </row>
    <row r="557" spans="5:7" ht="14.25" customHeight="1">
      <c r="E557" s="168"/>
      <c r="G557" s="168"/>
    </row>
    <row r="558" spans="5:7" ht="14.25" customHeight="1">
      <c r="E558" s="168"/>
      <c r="G558" s="168"/>
    </row>
    <row r="559" spans="5:7" ht="14.25" customHeight="1">
      <c r="E559" s="168"/>
      <c r="G559" s="168"/>
    </row>
    <row r="560" spans="5:7" ht="14.25" customHeight="1">
      <c r="E560" s="168"/>
      <c r="G560" s="168"/>
    </row>
    <row r="561" spans="5:7" ht="14.25" customHeight="1">
      <c r="E561" s="168"/>
      <c r="G561" s="168"/>
    </row>
    <row r="562" spans="5:7" ht="14.25" customHeight="1">
      <c r="E562" s="168"/>
      <c r="G562" s="168"/>
    </row>
    <row r="563" spans="5:7" ht="14.25" customHeight="1">
      <c r="E563" s="168"/>
      <c r="G563" s="168"/>
    </row>
    <row r="564" spans="5:7" ht="14.25" customHeight="1">
      <c r="E564" s="168"/>
      <c r="G564" s="168"/>
    </row>
    <row r="565" spans="5:7" ht="14.25" customHeight="1">
      <c r="E565" s="168"/>
      <c r="G565" s="168"/>
    </row>
    <row r="566" spans="5:7" ht="14.25" customHeight="1">
      <c r="E566" s="168"/>
      <c r="G566" s="168"/>
    </row>
    <row r="567" spans="5:7" ht="14.25" customHeight="1">
      <c r="E567" s="168"/>
      <c r="G567" s="168"/>
    </row>
    <row r="568" spans="5:7" ht="14.25" customHeight="1">
      <c r="E568" s="168"/>
      <c r="G568" s="168"/>
    </row>
    <row r="569" spans="5:7" ht="14.25" customHeight="1">
      <c r="E569" s="168"/>
      <c r="G569" s="168"/>
    </row>
    <row r="570" spans="5:7" ht="14.25" customHeight="1">
      <c r="E570" s="168"/>
      <c r="G570" s="168"/>
    </row>
    <row r="571" spans="5:7" ht="14.25" customHeight="1">
      <c r="E571" s="168"/>
      <c r="G571" s="168"/>
    </row>
    <row r="572" spans="5:7" ht="14.25" customHeight="1">
      <c r="E572" s="168"/>
      <c r="G572" s="168"/>
    </row>
    <row r="573" spans="5:7" ht="14.25" customHeight="1">
      <c r="E573" s="168"/>
      <c r="G573" s="168"/>
    </row>
    <row r="574" spans="5:7" ht="14.25" customHeight="1">
      <c r="E574" s="168"/>
      <c r="G574" s="168"/>
    </row>
    <row r="575" spans="5:7" ht="14.25" customHeight="1">
      <c r="E575" s="168"/>
      <c r="G575" s="168"/>
    </row>
    <row r="576" spans="5:7" ht="14.25" customHeight="1">
      <c r="E576" s="168"/>
      <c r="G576" s="168"/>
    </row>
    <row r="577" spans="5:7" ht="14.25" customHeight="1">
      <c r="E577" s="168"/>
      <c r="G577" s="168"/>
    </row>
    <row r="578" spans="5:7" ht="14.25" customHeight="1">
      <c r="E578" s="168"/>
      <c r="G578" s="168"/>
    </row>
    <row r="579" spans="5:7" ht="14.25" customHeight="1">
      <c r="E579" s="168"/>
      <c r="G579" s="168"/>
    </row>
    <row r="580" spans="5:7" ht="14.25" customHeight="1">
      <c r="E580" s="168"/>
      <c r="G580" s="168"/>
    </row>
    <row r="581" spans="5:7" ht="14.25" customHeight="1">
      <c r="E581" s="168"/>
      <c r="G581" s="168"/>
    </row>
    <row r="582" spans="5:7" ht="14.25" customHeight="1">
      <c r="E582" s="168"/>
      <c r="G582" s="168"/>
    </row>
    <row r="583" spans="5:7" ht="14.25" customHeight="1">
      <c r="E583" s="168"/>
      <c r="G583" s="168"/>
    </row>
    <row r="584" spans="5:7" ht="14.25" customHeight="1">
      <c r="E584" s="168"/>
      <c r="G584" s="168"/>
    </row>
    <row r="585" spans="5:7" ht="14.25" customHeight="1">
      <c r="E585" s="168"/>
      <c r="G585" s="168"/>
    </row>
    <row r="586" spans="5:7" ht="14.25" customHeight="1">
      <c r="E586" s="168"/>
      <c r="G586" s="168"/>
    </row>
    <row r="587" spans="5:7" ht="14.25" customHeight="1">
      <c r="E587" s="168"/>
      <c r="G587" s="168"/>
    </row>
    <row r="588" spans="5:7" ht="14.25" customHeight="1">
      <c r="E588" s="168"/>
      <c r="G588" s="168"/>
    </row>
    <row r="589" spans="5:7" ht="14.25" customHeight="1">
      <c r="E589" s="168"/>
      <c r="G589" s="168"/>
    </row>
    <row r="590" spans="5:7" ht="14.25" customHeight="1">
      <c r="E590" s="168"/>
      <c r="G590" s="168"/>
    </row>
    <row r="591" spans="5:7" ht="14.25" customHeight="1">
      <c r="E591" s="168"/>
      <c r="G591" s="168"/>
    </row>
    <row r="592" spans="5:7" ht="14.25" customHeight="1">
      <c r="E592" s="168"/>
      <c r="G592" s="168"/>
    </row>
    <row r="593" spans="5:7" ht="14.25" customHeight="1">
      <c r="E593" s="168"/>
      <c r="G593" s="168"/>
    </row>
    <row r="594" spans="5:7" ht="14.25" customHeight="1">
      <c r="E594" s="168"/>
      <c r="G594" s="168"/>
    </row>
    <row r="595" spans="5:7" ht="14.25" customHeight="1">
      <c r="E595" s="168"/>
      <c r="G595" s="168"/>
    </row>
    <row r="596" spans="5:7" ht="14.25" customHeight="1">
      <c r="E596" s="168"/>
      <c r="G596" s="168"/>
    </row>
    <row r="597" spans="5:7" ht="14.25" customHeight="1">
      <c r="E597" s="168"/>
      <c r="G597" s="168"/>
    </row>
    <row r="598" spans="5:7" ht="14.25" customHeight="1">
      <c r="E598" s="168"/>
      <c r="G598" s="168"/>
    </row>
    <row r="599" spans="5:7" ht="14.25" customHeight="1">
      <c r="E599" s="168"/>
      <c r="G599" s="168"/>
    </row>
    <row r="600" spans="5:7" ht="14.25" customHeight="1">
      <c r="E600" s="168"/>
      <c r="G600" s="168"/>
    </row>
    <row r="601" spans="5:7" ht="14.25" customHeight="1">
      <c r="E601" s="168"/>
      <c r="G601" s="168"/>
    </row>
    <row r="602" spans="5:7" ht="14.25" customHeight="1">
      <c r="E602" s="168"/>
      <c r="G602" s="168"/>
    </row>
    <row r="603" spans="5:7" ht="14.25" customHeight="1">
      <c r="E603" s="168"/>
      <c r="G603" s="168"/>
    </row>
    <row r="604" spans="5:7" ht="14.25" customHeight="1">
      <c r="E604" s="168"/>
      <c r="G604" s="168"/>
    </row>
    <row r="605" spans="5:7" ht="14.25" customHeight="1">
      <c r="E605" s="168"/>
      <c r="G605" s="168"/>
    </row>
    <row r="606" spans="5:7" ht="14.25" customHeight="1">
      <c r="E606" s="168"/>
      <c r="G606" s="168"/>
    </row>
    <row r="607" spans="5:7" ht="14.25" customHeight="1">
      <c r="E607" s="168"/>
      <c r="G607" s="168"/>
    </row>
    <row r="608" spans="5:7" ht="14.25" customHeight="1">
      <c r="E608" s="168"/>
      <c r="G608" s="168"/>
    </row>
    <row r="609" spans="5:7" ht="14.25" customHeight="1">
      <c r="E609" s="168"/>
      <c r="G609" s="168"/>
    </row>
    <row r="610" spans="5:7" ht="14.25" customHeight="1">
      <c r="E610" s="168"/>
      <c r="G610" s="168"/>
    </row>
    <row r="611" spans="5:7" ht="14.25" customHeight="1">
      <c r="E611" s="168"/>
      <c r="G611" s="168"/>
    </row>
    <row r="612" spans="5:7" ht="14.25" customHeight="1">
      <c r="E612" s="168"/>
      <c r="G612" s="168"/>
    </row>
    <row r="613" spans="5:7" ht="14.25" customHeight="1">
      <c r="E613" s="168"/>
      <c r="G613" s="168"/>
    </row>
    <row r="614" spans="5:7" ht="14.25" customHeight="1">
      <c r="E614" s="168"/>
      <c r="G614" s="168"/>
    </row>
    <row r="615" spans="5:7" ht="14.25" customHeight="1">
      <c r="E615" s="168"/>
      <c r="G615" s="168"/>
    </row>
    <row r="616" spans="5:7" ht="14.25" customHeight="1">
      <c r="E616" s="168"/>
      <c r="G616" s="168"/>
    </row>
    <row r="617" spans="5:7" ht="14.25" customHeight="1">
      <c r="E617" s="168"/>
      <c r="G617" s="168"/>
    </row>
    <row r="618" spans="5:7" ht="14.25" customHeight="1">
      <c r="E618" s="168"/>
      <c r="G618" s="168"/>
    </row>
    <row r="619" spans="5:7" ht="14.25" customHeight="1">
      <c r="E619" s="168"/>
      <c r="G619" s="168"/>
    </row>
    <row r="620" spans="5:7" ht="14.25" customHeight="1">
      <c r="E620" s="168"/>
      <c r="G620" s="168"/>
    </row>
    <row r="621" spans="5:7" ht="14.25" customHeight="1">
      <c r="E621" s="168"/>
      <c r="G621" s="168"/>
    </row>
    <row r="622" spans="5:7" ht="14.25" customHeight="1">
      <c r="E622" s="168"/>
      <c r="G622" s="168"/>
    </row>
    <row r="623" spans="5:7" ht="14.25" customHeight="1">
      <c r="E623" s="168"/>
      <c r="G623" s="168"/>
    </row>
    <row r="624" spans="5:7" ht="14.25" customHeight="1">
      <c r="E624" s="168"/>
      <c r="G624" s="168"/>
    </row>
    <row r="625" spans="5:7" ht="14.25" customHeight="1">
      <c r="E625" s="168"/>
      <c r="G625" s="168"/>
    </row>
    <row r="626" spans="5:7" ht="14.25" customHeight="1">
      <c r="E626" s="168"/>
      <c r="G626" s="168"/>
    </row>
    <row r="627" spans="5:7" ht="14.25" customHeight="1">
      <c r="E627" s="168"/>
      <c r="G627" s="168"/>
    </row>
    <row r="628" spans="5:7" ht="14.25" customHeight="1">
      <c r="E628" s="168"/>
      <c r="G628" s="168"/>
    </row>
    <row r="629" spans="5:7" ht="14.25" customHeight="1">
      <c r="E629" s="168"/>
      <c r="G629" s="168"/>
    </row>
    <row r="630" spans="5:7" ht="14.25" customHeight="1">
      <c r="E630" s="168"/>
      <c r="G630" s="168"/>
    </row>
    <row r="631" spans="5:7" ht="14.25" customHeight="1">
      <c r="E631" s="168"/>
      <c r="G631" s="168"/>
    </row>
    <row r="632" spans="5:7" ht="14.25" customHeight="1">
      <c r="E632" s="168"/>
      <c r="G632" s="168"/>
    </row>
    <row r="633" spans="5:7" ht="14.25" customHeight="1">
      <c r="E633" s="168"/>
      <c r="G633" s="168"/>
    </row>
    <row r="634" spans="5:7" ht="14.25" customHeight="1">
      <c r="E634" s="168"/>
      <c r="G634" s="168"/>
    </row>
    <row r="635" spans="5:7" ht="14.25" customHeight="1">
      <c r="E635" s="168"/>
      <c r="G635" s="168"/>
    </row>
    <row r="636" spans="5:7" ht="14.25" customHeight="1">
      <c r="E636" s="168"/>
      <c r="G636" s="168"/>
    </row>
    <row r="637" spans="5:7" ht="14.25" customHeight="1">
      <c r="E637" s="168"/>
      <c r="G637" s="168"/>
    </row>
    <row r="638" spans="5:7" ht="14.25" customHeight="1">
      <c r="E638" s="168"/>
      <c r="G638" s="168"/>
    </row>
    <row r="639" spans="5:7" ht="14.25" customHeight="1">
      <c r="E639" s="168"/>
      <c r="G639" s="168"/>
    </row>
    <row r="640" spans="5:7" ht="14.25" customHeight="1">
      <c r="E640" s="168"/>
      <c r="G640" s="168"/>
    </row>
    <row r="641" spans="5:7" ht="14.25" customHeight="1">
      <c r="E641" s="168"/>
      <c r="G641" s="168"/>
    </row>
    <row r="642" spans="5:7" ht="14.25" customHeight="1">
      <c r="E642" s="168"/>
      <c r="G642" s="168"/>
    </row>
    <row r="643" spans="5:7" ht="14.25" customHeight="1">
      <c r="E643" s="168"/>
      <c r="G643" s="168"/>
    </row>
    <row r="644" spans="5:7" ht="14.25" customHeight="1">
      <c r="E644" s="168"/>
      <c r="G644" s="168"/>
    </row>
    <row r="645" spans="5:7" ht="14.25" customHeight="1">
      <c r="E645" s="168"/>
      <c r="G645" s="168"/>
    </row>
    <row r="646" spans="5:7" ht="14.25" customHeight="1">
      <c r="E646" s="168"/>
      <c r="G646" s="168"/>
    </row>
    <row r="647" spans="5:7" ht="14.25" customHeight="1">
      <c r="E647" s="168"/>
      <c r="G647" s="168"/>
    </row>
    <row r="648" spans="5:7" ht="14.25" customHeight="1">
      <c r="E648" s="168"/>
      <c r="G648" s="168"/>
    </row>
    <row r="649" spans="5:7" ht="14.25" customHeight="1">
      <c r="E649" s="168"/>
      <c r="G649" s="168"/>
    </row>
    <row r="650" spans="5:7" ht="14.25" customHeight="1">
      <c r="E650" s="168"/>
      <c r="G650" s="168"/>
    </row>
    <row r="651" spans="5:7" ht="14.25" customHeight="1">
      <c r="E651" s="168"/>
      <c r="G651" s="168"/>
    </row>
    <row r="652" spans="5:7" ht="14.25" customHeight="1">
      <c r="E652" s="168"/>
      <c r="G652" s="168"/>
    </row>
    <row r="653" spans="5:7" ht="14.25" customHeight="1">
      <c r="E653" s="168"/>
      <c r="G653" s="168"/>
    </row>
    <row r="654" spans="5:7" ht="14.25" customHeight="1">
      <c r="E654" s="168"/>
      <c r="G654" s="168"/>
    </row>
    <row r="655" spans="5:7" ht="14.25" customHeight="1">
      <c r="E655" s="168"/>
      <c r="G655" s="168"/>
    </row>
    <row r="656" spans="5:7" ht="14.25" customHeight="1">
      <c r="E656" s="168"/>
      <c r="G656" s="168"/>
    </row>
    <row r="657" spans="5:7" ht="14.25" customHeight="1">
      <c r="E657" s="168"/>
      <c r="G657" s="168"/>
    </row>
    <row r="658" spans="5:7" ht="14.25" customHeight="1">
      <c r="E658" s="168"/>
      <c r="G658" s="168"/>
    </row>
    <row r="659" spans="5:7" ht="14.25" customHeight="1">
      <c r="E659" s="168"/>
      <c r="G659" s="168"/>
    </row>
    <row r="660" spans="5:7" ht="14.25" customHeight="1">
      <c r="E660" s="168"/>
      <c r="G660" s="168"/>
    </row>
    <row r="661" spans="5:7" ht="14.25" customHeight="1">
      <c r="E661" s="168"/>
      <c r="G661" s="168"/>
    </row>
    <row r="662" spans="5:7" ht="14.25" customHeight="1">
      <c r="E662" s="168"/>
      <c r="G662" s="168"/>
    </row>
    <row r="663" spans="5:7" ht="14.25" customHeight="1">
      <c r="E663" s="168"/>
      <c r="G663" s="168"/>
    </row>
    <row r="664" spans="5:7" ht="14.25" customHeight="1">
      <c r="E664" s="168"/>
      <c r="G664" s="168"/>
    </row>
    <row r="665" spans="5:7" ht="14.25" customHeight="1">
      <c r="E665" s="168"/>
      <c r="G665" s="168"/>
    </row>
    <row r="666" spans="5:7" ht="14.25" customHeight="1">
      <c r="E666" s="168"/>
      <c r="G666" s="168"/>
    </row>
    <row r="667" spans="5:7" ht="14.25" customHeight="1">
      <c r="E667" s="168"/>
      <c r="G667" s="168"/>
    </row>
    <row r="668" spans="5:7" ht="14.25" customHeight="1">
      <c r="E668" s="168"/>
      <c r="G668" s="168"/>
    </row>
    <row r="669" spans="5:7" ht="14.25" customHeight="1">
      <c r="E669" s="168"/>
      <c r="G669" s="168"/>
    </row>
    <row r="670" spans="5:7" ht="14.25" customHeight="1">
      <c r="E670" s="168"/>
      <c r="G670" s="168"/>
    </row>
    <row r="671" spans="5:7" ht="14.25" customHeight="1">
      <c r="E671" s="168"/>
      <c r="G671" s="168"/>
    </row>
    <row r="672" spans="5:7" ht="14.25" customHeight="1">
      <c r="E672" s="168"/>
      <c r="G672" s="168"/>
    </row>
    <row r="673" spans="5:7" ht="14.25" customHeight="1">
      <c r="E673" s="168"/>
      <c r="G673" s="168"/>
    </row>
    <row r="674" spans="5:7" ht="14.25" customHeight="1">
      <c r="E674" s="168"/>
      <c r="G674" s="168"/>
    </row>
    <row r="675" spans="5:7" ht="14.25" customHeight="1">
      <c r="E675" s="168"/>
      <c r="G675" s="168"/>
    </row>
    <row r="676" spans="5:7" ht="14.25" customHeight="1">
      <c r="E676" s="168"/>
      <c r="G676" s="168"/>
    </row>
    <row r="677" spans="5:7" ht="14.25" customHeight="1">
      <c r="E677" s="168"/>
      <c r="G677" s="168"/>
    </row>
    <row r="678" spans="5:7" ht="14.25" customHeight="1">
      <c r="E678" s="168"/>
      <c r="G678" s="168"/>
    </row>
    <row r="679" spans="5:7" ht="14.25" customHeight="1">
      <c r="E679" s="168"/>
      <c r="G679" s="168"/>
    </row>
    <row r="680" spans="5:7" ht="14.25" customHeight="1">
      <c r="E680" s="168"/>
      <c r="G680" s="168"/>
    </row>
    <row r="681" spans="5:7" ht="14.25" customHeight="1">
      <c r="E681" s="168"/>
      <c r="G681" s="168"/>
    </row>
    <row r="682" spans="5:7" ht="14.25" customHeight="1">
      <c r="E682" s="168"/>
      <c r="G682" s="168"/>
    </row>
    <row r="683" spans="5:7" ht="14.25" customHeight="1">
      <c r="E683" s="168"/>
      <c r="G683" s="168"/>
    </row>
    <row r="684" spans="5:7" ht="14.25" customHeight="1">
      <c r="E684" s="168"/>
      <c r="G684" s="168"/>
    </row>
    <row r="685" spans="5:7" ht="14.25" customHeight="1">
      <c r="E685" s="168"/>
      <c r="G685" s="168"/>
    </row>
    <row r="686" spans="5:7" ht="14.25" customHeight="1">
      <c r="E686" s="168"/>
      <c r="G686" s="168"/>
    </row>
    <row r="687" spans="5:7" ht="14.25" customHeight="1">
      <c r="E687" s="168"/>
      <c r="G687" s="168"/>
    </row>
    <row r="688" spans="5:7" ht="14.25" customHeight="1">
      <c r="E688" s="168"/>
      <c r="G688" s="168"/>
    </row>
    <row r="689" spans="5:7" ht="14.25" customHeight="1">
      <c r="E689" s="168"/>
      <c r="G689" s="168"/>
    </row>
    <row r="690" spans="5:7" ht="14.25" customHeight="1">
      <c r="E690" s="168"/>
      <c r="G690" s="168"/>
    </row>
    <row r="691" spans="5:7" ht="14.25" customHeight="1">
      <c r="E691" s="168"/>
      <c r="G691" s="168"/>
    </row>
    <row r="692" spans="5:7" ht="14.25" customHeight="1">
      <c r="E692" s="168"/>
      <c r="G692" s="168"/>
    </row>
    <row r="693" spans="5:7" ht="14.25" customHeight="1">
      <c r="E693" s="168"/>
      <c r="G693" s="168"/>
    </row>
    <row r="694" spans="5:7" ht="14.25" customHeight="1">
      <c r="E694" s="168"/>
      <c r="G694" s="168"/>
    </row>
    <row r="695" spans="5:7" ht="14.25" customHeight="1">
      <c r="E695" s="168"/>
      <c r="G695" s="168"/>
    </row>
    <row r="696" spans="5:7" ht="14.25" customHeight="1">
      <c r="E696" s="168"/>
      <c r="G696" s="168"/>
    </row>
    <row r="697" spans="5:7" ht="14.25" customHeight="1">
      <c r="E697" s="168"/>
      <c r="G697" s="168"/>
    </row>
    <row r="698" spans="5:7" ht="14.25" customHeight="1">
      <c r="E698" s="168"/>
      <c r="G698" s="168"/>
    </row>
    <row r="699" spans="5:7" ht="14.25" customHeight="1">
      <c r="E699" s="168"/>
      <c r="G699" s="168"/>
    </row>
    <row r="700" spans="5:7" ht="14.25" customHeight="1">
      <c r="E700" s="168"/>
      <c r="G700" s="168"/>
    </row>
    <row r="701" spans="5:7" ht="14.25" customHeight="1">
      <c r="E701" s="168"/>
      <c r="G701" s="168"/>
    </row>
    <row r="702" spans="5:7" ht="14.25" customHeight="1">
      <c r="E702" s="168"/>
      <c r="G702" s="168"/>
    </row>
    <row r="703" spans="5:7" ht="14.25" customHeight="1">
      <c r="E703" s="168"/>
      <c r="G703" s="168"/>
    </row>
    <row r="704" spans="5:7" ht="14.25" customHeight="1">
      <c r="E704" s="168"/>
      <c r="G704" s="168"/>
    </row>
    <row r="705" spans="5:7" ht="14.25" customHeight="1">
      <c r="E705" s="168"/>
      <c r="G705" s="168"/>
    </row>
    <row r="706" spans="5:7" ht="14.25" customHeight="1">
      <c r="E706" s="168"/>
      <c r="G706" s="168"/>
    </row>
    <row r="707" spans="5:7" ht="14.25" customHeight="1">
      <c r="E707" s="168"/>
      <c r="G707" s="168"/>
    </row>
    <row r="708" spans="5:7" ht="14.25" customHeight="1">
      <c r="E708" s="168"/>
      <c r="G708" s="168"/>
    </row>
    <row r="709" spans="5:7" ht="14.25" customHeight="1">
      <c r="E709" s="168"/>
      <c r="G709" s="168"/>
    </row>
    <row r="710" spans="5:7" ht="14.25" customHeight="1">
      <c r="E710" s="168"/>
      <c r="G710" s="168"/>
    </row>
    <row r="711" spans="5:7" ht="14.25" customHeight="1">
      <c r="E711" s="168"/>
      <c r="G711" s="168"/>
    </row>
    <row r="712" spans="5:7" ht="14.25" customHeight="1">
      <c r="E712" s="168"/>
      <c r="G712" s="168"/>
    </row>
    <row r="713" spans="5:7" ht="14.25" customHeight="1">
      <c r="E713" s="168"/>
      <c r="G713" s="168"/>
    </row>
    <row r="714" spans="5:7" ht="14.25" customHeight="1">
      <c r="E714" s="168"/>
      <c r="G714" s="168"/>
    </row>
    <row r="715" spans="5:7" ht="14.25" customHeight="1">
      <c r="E715" s="168"/>
      <c r="G715" s="168"/>
    </row>
    <row r="716" spans="5:7" ht="14.25" customHeight="1">
      <c r="E716" s="168"/>
      <c r="G716" s="168"/>
    </row>
    <row r="717" spans="5:7" ht="14.25" customHeight="1">
      <c r="E717" s="168"/>
      <c r="G717" s="168"/>
    </row>
    <row r="718" spans="5:7" ht="14.25" customHeight="1">
      <c r="E718" s="168"/>
      <c r="G718" s="168"/>
    </row>
    <row r="719" spans="5:7" ht="14.25" customHeight="1">
      <c r="E719" s="168"/>
      <c r="G719" s="168"/>
    </row>
    <row r="720" spans="5:7" ht="14.25" customHeight="1">
      <c r="E720" s="168"/>
      <c r="G720" s="168"/>
    </row>
    <row r="721" spans="5:7" ht="14.25" customHeight="1">
      <c r="E721" s="168"/>
      <c r="G721" s="168"/>
    </row>
    <row r="722" spans="5:7" ht="14.25" customHeight="1">
      <c r="E722" s="168"/>
      <c r="G722" s="168"/>
    </row>
    <row r="723" spans="5:7" ht="14.25" customHeight="1">
      <c r="E723" s="168"/>
      <c r="G723" s="168"/>
    </row>
    <row r="724" spans="5:7" ht="14.25" customHeight="1">
      <c r="E724" s="168"/>
      <c r="G724" s="168"/>
    </row>
    <row r="725" spans="5:7" ht="14.25" customHeight="1">
      <c r="E725" s="168"/>
      <c r="G725" s="168"/>
    </row>
    <row r="726" spans="5:7" ht="14.25" customHeight="1">
      <c r="E726" s="168"/>
      <c r="G726" s="168"/>
    </row>
    <row r="727" spans="5:7" ht="14.25" customHeight="1">
      <c r="E727" s="168"/>
      <c r="G727" s="168"/>
    </row>
    <row r="728" spans="5:7" ht="14.25" customHeight="1">
      <c r="E728" s="168"/>
      <c r="G728" s="168"/>
    </row>
    <row r="729" spans="5:7" ht="14.25" customHeight="1">
      <c r="E729" s="168"/>
      <c r="G729" s="168"/>
    </row>
    <row r="730" spans="5:7" ht="14.25" customHeight="1">
      <c r="E730" s="168"/>
      <c r="G730" s="168"/>
    </row>
    <row r="731" spans="5:7" ht="14.25" customHeight="1">
      <c r="E731" s="168"/>
      <c r="G731" s="168"/>
    </row>
    <row r="732" spans="5:7" ht="14.25" customHeight="1">
      <c r="E732" s="168"/>
      <c r="G732" s="168"/>
    </row>
    <row r="733" spans="5:7" ht="14.25" customHeight="1">
      <c r="E733" s="168"/>
      <c r="G733" s="168"/>
    </row>
    <row r="734" spans="5:7" ht="14.25" customHeight="1">
      <c r="E734" s="168"/>
      <c r="G734" s="168"/>
    </row>
    <row r="735" spans="5:7" ht="14.25" customHeight="1">
      <c r="E735" s="168"/>
      <c r="G735" s="168"/>
    </row>
    <row r="736" spans="5:7" ht="14.25" customHeight="1">
      <c r="E736" s="168"/>
      <c r="G736" s="168"/>
    </row>
    <row r="737" spans="5:7" ht="14.25" customHeight="1">
      <c r="E737" s="168"/>
      <c r="G737" s="168"/>
    </row>
    <row r="738" spans="5:7" ht="14.25" customHeight="1">
      <c r="E738" s="168"/>
      <c r="G738" s="168"/>
    </row>
    <row r="739" spans="5:7" ht="14.25" customHeight="1">
      <c r="E739" s="168"/>
      <c r="G739" s="168"/>
    </row>
    <row r="740" spans="5:7" ht="14.25" customHeight="1">
      <c r="E740" s="168"/>
      <c r="G740" s="168"/>
    </row>
    <row r="741" spans="5:7" ht="14.25" customHeight="1">
      <c r="E741" s="168"/>
      <c r="G741" s="168"/>
    </row>
    <row r="742" spans="5:7" ht="14.25" customHeight="1">
      <c r="E742" s="168"/>
      <c r="G742" s="168"/>
    </row>
    <row r="743" spans="5:7" ht="14.25" customHeight="1">
      <c r="E743" s="168"/>
      <c r="G743" s="168"/>
    </row>
    <row r="744" spans="5:7" ht="14.25" customHeight="1">
      <c r="E744" s="168"/>
      <c r="G744" s="168"/>
    </row>
    <row r="745" spans="5:7" ht="14.25" customHeight="1">
      <c r="E745" s="168"/>
      <c r="G745" s="168"/>
    </row>
    <row r="746" spans="5:7" ht="14.25" customHeight="1">
      <c r="E746" s="168"/>
      <c r="G746" s="168"/>
    </row>
    <row r="747" spans="5:7" ht="14.25" customHeight="1">
      <c r="E747" s="168"/>
      <c r="G747" s="168"/>
    </row>
    <row r="748" spans="5:7" ht="14.25" customHeight="1">
      <c r="E748" s="168"/>
      <c r="G748" s="168"/>
    </row>
    <row r="749" spans="5:7" ht="14.25" customHeight="1">
      <c r="E749" s="168"/>
      <c r="G749" s="168"/>
    </row>
    <row r="750" spans="5:7" ht="14.25" customHeight="1">
      <c r="E750" s="168"/>
      <c r="G750" s="168"/>
    </row>
    <row r="751" spans="5:7" ht="14.25" customHeight="1">
      <c r="E751" s="168"/>
      <c r="G751" s="168"/>
    </row>
    <row r="752" spans="5:7" ht="14.25" customHeight="1">
      <c r="E752" s="168"/>
      <c r="G752" s="168"/>
    </row>
    <row r="753" spans="5:7" ht="14.25" customHeight="1">
      <c r="E753" s="168"/>
      <c r="G753" s="168"/>
    </row>
    <row r="754" spans="5:7" ht="14.25" customHeight="1">
      <c r="E754" s="168"/>
      <c r="G754" s="168"/>
    </row>
    <row r="755" spans="5:7" ht="14.25" customHeight="1">
      <c r="E755" s="168"/>
      <c r="G755" s="168"/>
    </row>
    <row r="756" spans="5:7" ht="14.25" customHeight="1">
      <c r="E756" s="168"/>
      <c r="G756" s="168"/>
    </row>
    <row r="757" spans="5:7" ht="14.25" customHeight="1">
      <c r="E757" s="168"/>
      <c r="G757" s="168"/>
    </row>
    <row r="758" spans="5:7" ht="14.25" customHeight="1">
      <c r="E758" s="168"/>
      <c r="G758" s="168"/>
    </row>
    <row r="759" spans="5:7" ht="14.25" customHeight="1">
      <c r="E759" s="168"/>
      <c r="G759" s="168"/>
    </row>
    <row r="760" spans="5:7" ht="14.25" customHeight="1">
      <c r="E760" s="168"/>
      <c r="G760" s="168"/>
    </row>
    <row r="761" spans="5:7" ht="14.25" customHeight="1">
      <c r="E761" s="168"/>
      <c r="G761" s="168"/>
    </row>
    <row r="762" spans="5:7" ht="14.25" customHeight="1">
      <c r="E762" s="168"/>
      <c r="G762" s="168"/>
    </row>
    <row r="763" spans="5:7" ht="14.25" customHeight="1">
      <c r="E763" s="168"/>
      <c r="G763" s="168"/>
    </row>
    <row r="764" spans="5:7" ht="14.25" customHeight="1">
      <c r="E764" s="168"/>
      <c r="G764" s="168"/>
    </row>
    <row r="765" spans="5:7" ht="14.25" customHeight="1">
      <c r="E765" s="168"/>
      <c r="G765" s="168"/>
    </row>
    <row r="766" spans="5:7" ht="14.25" customHeight="1">
      <c r="E766" s="168"/>
      <c r="G766" s="168"/>
    </row>
    <row r="767" spans="5:7" ht="14.25" customHeight="1">
      <c r="E767" s="168"/>
      <c r="G767" s="168"/>
    </row>
    <row r="768" spans="5:7" ht="14.25" customHeight="1">
      <c r="E768" s="168"/>
      <c r="G768" s="168"/>
    </row>
    <row r="769" spans="5:7" ht="14.25" customHeight="1">
      <c r="E769" s="168"/>
      <c r="G769" s="168"/>
    </row>
    <row r="770" spans="5:7" ht="14.25" customHeight="1">
      <c r="E770" s="168"/>
      <c r="G770" s="168"/>
    </row>
    <row r="771" spans="5:7" ht="14.25" customHeight="1">
      <c r="E771" s="168"/>
      <c r="G771" s="168"/>
    </row>
    <row r="772" spans="5:7" ht="14.25" customHeight="1">
      <c r="E772" s="168"/>
      <c r="G772" s="168"/>
    </row>
    <row r="773" spans="5:7" ht="14.25" customHeight="1">
      <c r="E773" s="168"/>
      <c r="G773" s="168"/>
    </row>
    <row r="774" spans="5:7" ht="14.25" customHeight="1">
      <c r="E774" s="168"/>
      <c r="G774" s="168"/>
    </row>
    <row r="775" spans="5:7" ht="14.25" customHeight="1">
      <c r="E775" s="168"/>
      <c r="G775" s="168"/>
    </row>
    <row r="776" spans="5:7" ht="14.25" customHeight="1">
      <c r="E776" s="168"/>
      <c r="G776" s="168"/>
    </row>
    <row r="777" spans="5:7" ht="14.25" customHeight="1">
      <c r="E777" s="168"/>
      <c r="G777" s="168"/>
    </row>
    <row r="778" spans="5:7" ht="14.25" customHeight="1">
      <c r="E778" s="168"/>
      <c r="G778" s="168"/>
    </row>
    <row r="779" spans="5:7" ht="14.25" customHeight="1">
      <c r="E779" s="168"/>
      <c r="G779" s="168"/>
    </row>
    <row r="780" spans="5:7" ht="14.25" customHeight="1">
      <c r="E780" s="168"/>
      <c r="G780" s="168"/>
    </row>
    <row r="781" spans="5:7" ht="14.25" customHeight="1">
      <c r="E781" s="168"/>
      <c r="G781" s="168"/>
    </row>
    <row r="782" spans="5:7" ht="14.25" customHeight="1">
      <c r="E782" s="168"/>
      <c r="G782" s="168"/>
    </row>
    <row r="783" spans="5:7" ht="14.25" customHeight="1">
      <c r="E783" s="168"/>
      <c r="G783" s="168"/>
    </row>
    <row r="784" spans="5:7" ht="14.25" customHeight="1">
      <c r="E784" s="168"/>
      <c r="G784" s="168"/>
    </row>
    <row r="785" spans="5:7" ht="14.25" customHeight="1">
      <c r="E785" s="168"/>
      <c r="G785" s="168"/>
    </row>
    <row r="786" spans="5:7" ht="14.25" customHeight="1">
      <c r="E786" s="168"/>
      <c r="G786" s="168"/>
    </row>
    <row r="787" spans="5:7" ht="14.25" customHeight="1">
      <c r="E787" s="168"/>
      <c r="G787" s="168"/>
    </row>
    <row r="788" spans="5:7" ht="14.25" customHeight="1">
      <c r="E788" s="168"/>
      <c r="G788" s="168"/>
    </row>
    <row r="789" spans="5:7" ht="14.25" customHeight="1">
      <c r="E789" s="168"/>
      <c r="G789" s="168"/>
    </row>
    <row r="790" spans="5:7" ht="14.25" customHeight="1">
      <c r="E790" s="168"/>
      <c r="G790" s="168"/>
    </row>
    <row r="791" spans="5:7" ht="14.25" customHeight="1">
      <c r="E791" s="168"/>
      <c r="G791" s="168"/>
    </row>
    <row r="792" spans="5:7" ht="14.25" customHeight="1">
      <c r="E792" s="168"/>
      <c r="G792" s="168"/>
    </row>
    <row r="793" spans="5:7" ht="14.25" customHeight="1">
      <c r="E793" s="168"/>
      <c r="G793" s="168"/>
    </row>
    <row r="794" spans="5:7" ht="14.25" customHeight="1">
      <c r="E794" s="168"/>
      <c r="G794" s="168"/>
    </row>
    <row r="795" spans="5:7" ht="14.25" customHeight="1">
      <c r="E795" s="168"/>
      <c r="G795" s="168"/>
    </row>
    <row r="796" spans="5:7" ht="14.25" customHeight="1">
      <c r="E796" s="168"/>
      <c r="G796" s="168"/>
    </row>
    <row r="797" spans="5:7" ht="14.25" customHeight="1">
      <c r="E797" s="168"/>
      <c r="G797" s="168"/>
    </row>
    <row r="798" spans="5:7" ht="14.25" customHeight="1">
      <c r="E798" s="168"/>
      <c r="G798" s="168"/>
    </row>
    <row r="799" spans="5:7" ht="14.25" customHeight="1">
      <c r="E799" s="168"/>
      <c r="G799" s="168"/>
    </row>
    <row r="800" spans="5:7" ht="14.25" customHeight="1">
      <c r="E800" s="168"/>
      <c r="G800" s="168"/>
    </row>
    <row r="801" spans="5:7" ht="14.25" customHeight="1">
      <c r="E801" s="168"/>
      <c r="G801" s="168"/>
    </row>
    <row r="802" spans="5:7" ht="14.25" customHeight="1">
      <c r="E802" s="168"/>
      <c r="G802" s="168"/>
    </row>
    <row r="803" spans="5:7" ht="14.25" customHeight="1">
      <c r="E803" s="168"/>
      <c r="G803" s="168"/>
    </row>
    <row r="804" spans="5:7" ht="14.25" customHeight="1">
      <c r="E804" s="168"/>
      <c r="G804" s="168"/>
    </row>
    <row r="805" spans="5:7" ht="14.25" customHeight="1">
      <c r="E805" s="168"/>
      <c r="G805" s="168"/>
    </row>
    <row r="806" spans="5:7" ht="14.25" customHeight="1">
      <c r="E806" s="168"/>
      <c r="G806" s="168"/>
    </row>
    <row r="807" spans="5:7" ht="14.25" customHeight="1">
      <c r="E807" s="168"/>
      <c r="G807" s="168"/>
    </row>
    <row r="808" spans="5:7" ht="14.25" customHeight="1">
      <c r="E808" s="168"/>
      <c r="G808" s="168"/>
    </row>
    <row r="809" spans="5:7" ht="14.25" customHeight="1">
      <c r="E809" s="168"/>
      <c r="G809" s="168"/>
    </row>
    <row r="810" spans="5:7" ht="14.25" customHeight="1">
      <c r="E810" s="168"/>
      <c r="G810" s="168"/>
    </row>
    <row r="811" spans="5:7" ht="14.25" customHeight="1">
      <c r="E811" s="168"/>
      <c r="G811" s="168"/>
    </row>
    <row r="812" spans="5:7" ht="14.25" customHeight="1">
      <c r="E812" s="168"/>
      <c r="G812" s="168"/>
    </row>
    <row r="813" spans="5:7" ht="14.25" customHeight="1">
      <c r="E813" s="168"/>
      <c r="G813" s="168"/>
    </row>
    <row r="814" spans="5:7" ht="14.25" customHeight="1">
      <c r="E814" s="168"/>
      <c r="G814" s="168"/>
    </row>
    <row r="815" spans="5:7" ht="14.25" customHeight="1">
      <c r="E815" s="168"/>
      <c r="G815" s="168"/>
    </row>
    <row r="816" spans="5:7" ht="14.25" customHeight="1">
      <c r="E816" s="168"/>
      <c r="G816" s="168"/>
    </row>
    <row r="817" spans="5:7" ht="14.25" customHeight="1">
      <c r="E817" s="168"/>
      <c r="G817" s="168"/>
    </row>
    <row r="818" spans="5:7" ht="14.25" customHeight="1">
      <c r="E818" s="168"/>
      <c r="G818" s="168"/>
    </row>
    <row r="819" spans="5:7" ht="14.25" customHeight="1">
      <c r="E819" s="168"/>
      <c r="G819" s="168"/>
    </row>
    <row r="820" spans="5:7" ht="14.25" customHeight="1">
      <c r="E820" s="168"/>
      <c r="G820" s="168"/>
    </row>
    <row r="821" spans="5:7" ht="14.25" customHeight="1">
      <c r="E821" s="168"/>
      <c r="G821" s="168"/>
    </row>
    <row r="822" spans="5:7" ht="14.25" customHeight="1">
      <c r="E822" s="168"/>
      <c r="G822" s="168"/>
    </row>
    <row r="823" spans="5:7" ht="14.25" customHeight="1">
      <c r="E823" s="168"/>
      <c r="G823" s="168"/>
    </row>
    <row r="824" spans="5:7" ht="14.25" customHeight="1">
      <c r="E824" s="168"/>
      <c r="G824" s="168"/>
    </row>
    <row r="825" spans="5:7" ht="14.25" customHeight="1">
      <c r="E825" s="168"/>
      <c r="G825" s="168"/>
    </row>
    <row r="826" spans="5:7" ht="14.25" customHeight="1">
      <c r="E826" s="168"/>
      <c r="G826" s="168"/>
    </row>
    <row r="827" spans="5:7" ht="14.25" customHeight="1">
      <c r="E827" s="168"/>
      <c r="G827" s="168"/>
    </row>
    <row r="828" spans="5:7" ht="14.25" customHeight="1">
      <c r="E828" s="168"/>
      <c r="G828" s="168"/>
    </row>
    <row r="829" spans="5:7" ht="14.25" customHeight="1">
      <c r="E829" s="168"/>
      <c r="G829" s="168"/>
    </row>
    <row r="830" spans="5:7" ht="14.25" customHeight="1">
      <c r="E830" s="168"/>
      <c r="G830" s="168"/>
    </row>
    <row r="831" spans="5:7" ht="14.25" customHeight="1">
      <c r="E831" s="168"/>
      <c r="G831" s="168"/>
    </row>
    <row r="832" spans="5:7" ht="14.25" customHeight="1">
      <c r="E832" s="168"/>
      <c r="G832" s="168"/>
    </row>
    <row r="833" spans="5:7" ht="14.25" customHeight="1">
      <c r="E833" s="168"/>
      <c r="G833" s="168"/>
    </row>
    <row r="834" spans="5:7" ht="14.25" customHeight="1">
      <c r="E834" s="168"/>
      <c r="G834" s="168"/>
    </row>
    <row r="835" spans="5:7" ht="14.25" customHeight="1">
      <c r="E835" s="168"/>
      <c r="G835" s="168"/>
    </row>
    <row r="836" spans="5:7" ht="14.25" customHeight="1">
      <c r="E836" s="168"/>
      <c r="G836" s="168"/>
    </row>
    <row r="837" spans="5:7" ht="14.25" customHeight="1">
      <c r="E837" s="168"/>
      <c r="G837" s="168"/>
    </row>
    <row r="838" spans="5:7" ht="14.25" customHeight="1">
      <c r="E838" s="168"/>
      <c r="G838" s="168"/>
    </row>
    <row r="839" spans="5:7" ht="14.25" customHeight="1">
      <c r="E839" s="168"/>
      <c r="G839" s="168"/>
    </row>
    <row r="840" spans="5:7" ht="14.25" customHeight="1">
      <c r="E840" s="168"/>
      <c r="G840" s="168"/>
    </row>
    <row r="841" spans="5:7" ht="14.25" customHeight="1">
      <c r="E841" s="168"/>
      <c r="G841" s="168"/>
    </row>
    <row r="842" spans="5:7" ht="14.25" customHeight="1">
      <c r="E842" s="168"/>
      <c r="G842" s="168"/>
    </row>
    <row r="843" spans="5:7" ht="14.25" customHeight="1">
      <c r="E843" s="168"/>
      <c r="G843" s="168"/>
    </row>
    <row r="844" spans="5:7" ht="14.25" customHeight="1">
      <c r="E844" s="168"/>
      <c r="G844" s="168"/>
    </row>
    <row r="845" spans="5:7" ht="14.25" customHeight="1">
      <c r="E845" s="168"/>
      <c r="G845" s="168"/>
    </row>
    <row r="846" spans="5:7" ht="14.25" customHeight="1">
      <c r="E846" s="168"/>
      <c r="G846" s="168"/>
    </row>
    <row r="847" spans="5:7" ht="14.25" customHeight="1">
      <c r="E847" s="168"/>
      <c r="G847" s="168"/>
    </row>
    <row r="848" spans="5:7" ht="14.25" customHeight="1">
      <c r="E848" s="168"/>
      <c r="G848" s="168"/>
    </row>
    <row r="849" spans="5:7" ht="14.25" customHeight="1">
      <c r="E849" s="168"/>
      <c r="G849" s="168"/>
    </row>
    <row r="850" spans="5:7" ht="14.25" customHeight="1">
      <c r="E850" s="168"/>
      <c r="G850" s="168"/>
    </row>
    <row r="851" spans="5:7" ht="14.25" customHeight="1">
      <c r="E851" s="168"/>
      <c r="G851" s="168"/>
    </row>
    <row r="852" spans="5:7" ht="14.25" customHeight="1">
      <c r="E852" s="168"/>
      <c r="G852" s="168"/>
    </row>
    <row r="853" spans="5:7" ht="14.25" customHeight="1">
      <c r="E853" s="168"/>
      <c r="G853" s="168"/>
    </row>
    <row r="854" spans="5:7" ht="14.25" customHeight="1">
      <c r="E854" s="168"/>
      <c r="G854" s="168"/>
    </row>
    <row r="855" spans="5:7" ht="14.25" customHeight="1">
      <c r="E855" s="168"/>
      <c r="G855" s="168"/>
    </row>
    <row r="856" spans="5:7" ht="14.25" customHeight="1">
      <c r="E856" s="168"/>
      <c r="G856" s="168"/>
    </row>
    <row r="857" spans="5:7" ht="14.25" customHeight="1">
      <c r="E857" s="168"/>
      <c r="G857" s="168"/>
    </row>
    <row r="858" spans="5:7" ht="14.25" customHeight="1">
      <c r="E858" s="168"/>
      <c r="G858" s="168"/>
    </row>
    <row r="859" spans="5:7" ht="14.25" customHeight="1">
      <c r="E859" s="168"/>
      <c r="G859" s="168"/>
    </row>
    <row r="860" spans="5:7" ht="14.25" customHeight="1">
      <c r="E860" s="168"/>
      <c r="G860" s="168"/>
    </row>
    <row r="861" spans="5:7" ht="14.25" customHeight="1">
      <c r="E861" s="168"/>
      <c r="G861" s="168"/>
    </row>
    <row r="862" spans="5:7" ht="14.25" customHeight="1">
      <c r="E862" s="168"/>
      <c r="G862" s="168"/>
    </row>
    <row r="863" spans="5:7" ht="14.25" customHeight="1">
      <c r="E863" s="168"/>
      <c r="G863" s="168"/>
    </row>
    <row r="864" spans="5:7" ht="14.25" customHeight="1">
      <c r="E864" s="168"/>
      <c r="G864" s="168"/>
    </row>
    <row r="865" spans="5:7" ht="14.25" customHeight="1">
      <c r="E865" s="168"/>
      <c r="G865" s="168"/>
    </row>
    <row r="866" spans="5:7" ht="14.25" customHeight="1">
      <c r="E866" s="168"/>
      <c r="G866" s="168"/>
    </row>
    <row r="867" spans="5:7" ht="14.25" customHeight="1">
      <c r="E867" s="168"/>
      <c r="G867" s="168"/>
    </row>
    <row r="868" spans="5:7" ht="14.25" customHeight="1">
      <c r="E868" s="168"/>
      <c r="G868" s="168"/>
    </row>
    <row r="869" spans="5:7" ht="14.25" customHeight="1">
      <c r="E869" s="168"/>
      <c r="G869" s="168"/>
    </row>
    <row r="870" spans="5:7" ht="14.25" customHeight="1">
      <c r="E870" s="168"/>
      <c r="G870" s="168"/>
    </row>
    <row r="871" spans="5:7" ht="14.25" customHeight="1">
      <c r="E871" s="168"/>
      <c r="G871" s="168"/>
    </row>
    <row r="872" spans="5:7" ht="14.25" customHeight="1">
      <c r="E872" s="168"/>
      <c r="G872" s="168"/>
    </row>
    <row r="873" spans="5:7" ht="14.25" customHeight="1">
      <c r="E873" s="168"/>
      <c r="G873" s="168"/>
    </row>
    <row r="874" spans="5:7" ht="14.25" customHeight="1">
      <c r="E874" s="168"/>
      <c r="G874" s="168"/>
    </row>
    <row r="875" spans="5:7" ht="14.25" customHeight="1">
      <c r="E875" s="168"/>
      <c r="G875" s="168"/>
    </row>
    <row r="876" spans="5:7" ht="14.25" customHeight="1">
      <c r="E876" s="168"/>
      <c r="G876" s="168"/>
    </row>
    <row r="877" spans="5:7" ht="14.25" customHeight="1">
      <c r="E877" s="168"/>
      <c r="G877" s="168"/>
    </row>
    <row r="878" spans="5:7" ht="14.25" customHeight="1">
      <c r="E878" s="168"/>
      <c r="G878" s="168"/>
    </row>
    <row r="879" spans="5:7" ht="14.25" customHeight="1">
      <c r="E879" s="168"/>
      <c r="G879" s="168"/>
    </row>
    <row r="880" spans="5:7" ht="14.25" customHeight="1">
      <c r="E880" s="168"/>
      <c r="G880" s="168"/>
    </row>
    <row r="881" spans="5:7" ht="14.25" customHeight="1">
      <c r="E881" s="168"/>
      <c r="G881" s="168"/>
    </row>
    <row r="882" spans="5:7" ht="14.25" customHeight="1">
      <c r="E882" s="168"/>
      <c r="G882" s="168"/>
    </row>
    <row r="883" spans="5:7" ht="14.25" customHeight="1">
      <c r="E883" s="168"/>
      <c r="G883" s="168"/>
    </row>
    <row r="884" spans="5:7" ht="14.25" customHeight="1">
      <c r="E884" s="168"/>
      <c r="G884" s="168"/>
    </row>
    <row r="885" spans="5:7" ht="14.25" customHeight="1">
      <c r="E885" s="168"/>
      <c r="G885" s="168"/>
    </row>
    <row r="886" spans="5:7" ht="14.25" customHeight="1">
      <c r="E886" s="168"/>
      <c r="G886" s="168"/>
    </row>
    <row r="887" spans="5:7" ht="14.25" customHeight="1">
      <c r="E887" s="168"/>
      <c r="G887" s="168"/>
    </row>
    <row r="888" spans="5:7" ht="14.25" customHeight="1">
      <c r="E888" s="168"/>
      <c r="G888" s="168"/>
    </row>
    <row r="889" spans="5:7" ht="14.25" customHeight="1">
      <c r="E889" s="168"/>
      <c r="G889" s="168"/>
    </row>
    <row r="890" spans="5:7" ht="14.25" customHeight="1">
      <c r="E890" s="168"/>
      <c r="G890" s="168"/>
    </row>
    <row r="891" spans="5:7" ht="14.25" customHeight="1">
      <c r="E891" s="168"/>
      <c r="G891" s="168"/>
    </row>
    <row r="892" spans="5:7" ht="14.25" customHeight="1">
      <c r="E892" s="168"/>
      <c r="G892" s="168"/>
    </row>
    <row r="893" spans="5:7" ht="14.25" customHeight="1">
      <c r="E893" s="168"/>
      <c r="G893" s="168"/>
    </row>
    <row r="894" spans="5:7" ht="14.25" customHeight="1">
      <c r="E894" s="168"/>
      <c r="G894" s="168"/>
    </row>
    <row r="895" spans="5:7" ht="14.25" customHeight="1">
      <c r="E895" s="168"/>
      <c r="G895" s="168"/>
    </row>
    <row r="896" spans="5:7" ht="14.25" customHeight="1">
      <c r="E896" s="168"/>
      <c r="G896" s="168"/>
    </row>
    <row r="897" spans="5:7" ht="14.25" customHeight="1">
      <c r="E897" s="168"/>
      <c r="G897" s="168"/>
    </row>
    <row r="898" spans="5:7" ht="14.25" customHeight="1">
      <c r="E898" s="168"/>
      <c r="G898" s="168"/>
    </row>
    <row r="899" spans="5:7" ht="14.25" customHeight="1">
      <c r="E899" s="168"/>
      <c r="G899" s="168"/>
    </row>
    <row r="900" spans="5:7" ht="14.25" customHeight="1">
      <c r="E900" s="168"/>
      <c r="G900" s="168"/>
    </row>
    <row r="901" spans="5:7" ht="14.25" customHeight="1">
      <c r="E901" s="168"/>
      <c r="G901" s="168"/>
    </row>
    <row r="902" spans="5:7" ht="14.25" customHeight="1">
      <c r="E902" s="168"/>
      <c r="G902" s="168"/>
    </row>
    <row r="903" spans="5:7" ht="14.25" customHeight="1">
      <c r="E903" s="168"/>
      <c r="G903" s="168"/>
    </row>
    <row r="904" spans="5:7" ht="14.25" customHeight="1">
      <c r="E904" s="168"/>
      <c r="G904" s="168"/>
    </row>
    <row r="905" spans="5:7" ht="14.25" customHeight="1">
      <c r="E905" s="168"/>
      <c r="G905" s="168"/>
    </row>
    <row r="906" spans="5:7" ht="14.25" customHeight="1">
      <c r="E906" s="168"/>
      <c r="G906" s="168"/>
    </row>
    <row r="907" spans="5:7" ht="14.25" customHeight="1">
      <c r="E907" s="168"/>
      <c r="G907" s="168"/>
    </row>
    <row r="908" spans="5:7" ht="14.25" customHeight="1">
      <c r="E908" s="168"/>
      <c r="G908" s="168"/>
    </row>
    <row r="909" spans="5:7" ht="14.25" customHeight="1">
      <c r="E909" s="168"/>
      <c r="G909" s="168"/>
    </row>
    <row r="910" spans="5:7" ht="14.25" customHeight="1">
      <c r="E910" s="168"/>
      <c r="G910" s="168"/>
    </row>
    <row r="911" spans="5:7" ht="14.25" customHeight="1">
      <c r="E911" s="168"/>
      <c r="G911" s="168"/>
    </row>
    <row r="912" spans="5:7" ht="14.25" customHeight="1">
      <c r="E912" s="168"/>
      <c r="G912" s="168"/>
    </row>
    <row r="913" spans="5:7" ht="14.25" customHeight="1">
      <c r="E913" s="168"/>
      <c r="G913" s="168"/>
    </row>
    <row r="914" spans="5:7" ht="14.25" customHeight="1">
      <c r="E914" s="168"/>
      <c r="G914" s="168"/>
    </row>
    <row r="915" spans="5:7" ht="14.25" customHeight="1">
      <c r="E915" s="168"/>
      <c r="G915" s="168"/>
    </row>
    <row r="916" spans="5:7" ht="14.25" customHeight="1">
      <c r="E916" s="168"/>
      <c r="G916" s="168"/>
    </row>
    <row r="917" spans="5:7" ht="14.25" customHeight="1">
      <c r="E917" s="168"/>
      <c r="G917" s="168"/>
    </row>
    <row r="918" spans="5:7" ht="14.25" customHeight="1">
      <c r="E918" s="168"/>
      <c r="G918" s="168"/>
    </row>
    <row r="919" spans="5:7" ht="14.25" customHeight="1">
      <c r="E919" s="168"/>
      <c r="G919" s="168"/>
    </row>
    <row r="920" spans="5:7" ht="14.25" customHeight="1">
      <c r="E920" s="168"/>
      <c r="G920" s="168"/>
    </row>
    <row r="921" spans="5:7" ht="14.25" customHeight="1">
      <c r="E921" s="168"/>
      <c r="G921" s="168"/>
    </row>
    <row r="922" spans="5:7" ht="14.25" customHeight="1">
      <c r="E922" s="168"/>
      <c r="G922" s="168"/>
    </row>
    <row r="923" spans="5:7" ht="14.25" customHeight="1">
      <c r="E923" s="168"/>
      <c r="G923" s="168"/>
    </row>
    <row r="924" spans="5:7" ht="14.25" customHeight="1">
      <c r="E924" s="168"/>
      <c r="G924" s="168"/>
    </row>
    <row r="925" spans="5:7" ht="14.25" customHeight="1">
      <c r="E925" s="168"/>
      <c r="G925" s="168"/>
    </row>
    <row r="926" spans="5:7" ht="14.25" customHeight="1">
      <c r="E926" s="168"/>
      <c r="G926" s="168"/>
    </row>
    <row r="927" spans="5:7" ht="14.25" customHeight="1">
      <c r="E927" s="168"/>
      <c r="G927" s="168"/>
    </row>
    <row r="928" spans="5:7" ht="14.25" customHeight="1">
      <c r="E928" s="168"/>
      <c r="G928" s="168"/>
    </row>
    <row r="929" spans="5:7" ht="14.25" customHeight="1">
      <c r="E929" s="168"/>
      <c r="G929" s="168"/>
    </row>
    <row r="930" spans="5:7" ht="14.25" customHeight="1">
      <c r="E930" s="168"/>
      <c r="G930" s="168"/>
    </row>
    <row r="931" spans="5:7" ht="14.25" customHeight="1">
      <c r="E931" s="168"/>
      <c r="G931" s="168"/>
    </row>
    <row r="932" spans="5:7" ht="14.25" customHeight="1">
      <c r="E932" s="168"/>
      <c r="G932" s="168"/>
    </row>
    <row r="933" spans="5:7" ht="14.25" customHeight="1">
      <c r="E933" s="168"/>
      <c r="G933" s="168"/>
    </row>
    <row r="934" spans="5:7" ht="14.25" customHeight="1">
      <c r="E934" s="168"/>
      <c r="G934" s="168"/>
    </row>
    <row r="935" spans="5:7" ht="14.25" customHeight="1">
      <c r="E935" s="168"/>
      <c r="G935" s="168"/>
    </row>
    <row r="936" spans="5:7" ht="14.25" customHeight="1">
      <c r="E936" s="168"/>
      <c r="G936" s="168"/>
    </row>
    <row r="937" spans="5:7" ht="14.25" customHeight="1">
      <c r="E937" s="168"/>
      <c r="G937" s="168"/>
    </row>
    <row r="938" spans="5:7" ht="14.25" customHeight="1">
      <c r="E938" s="168"/>
      <c r="G938" s="168"/>
    </row>
    <row r="939" spans="5:7" ht="14.25" customHeight="1">
      <c r="E939" s="168"/>
      <c r="G939" s="168"/>
    </row>
    <row r="940" spans="5:7" ht="14.25" customHeight="1">
      <c r="E940" s="168"/>
      <c r="G940" s="168"/>
    </row>
    <row r="941" spans="5:7" ht="14.25" customHeight="1">
      <c r="E941" s="168"/>
      <c r="G941" s="168"/>
    </row>
    <row r="942" spans="5:7" ht="14.25" customHeight="1">
      <c r="E942" s="168"/>
      <c r="G942" s="168"/>
    </row>
    <row r="943" spans="5:7" ht="14.25" customHeight="1">
      <c r="E943" s="168"/>
      <c r="G943" s="168"/>
    </row>
    <row r="944" spans="5:7" ht="14.25" customHeight="1">
      <c r="E944" s="168"/>
      <c r="G944" s="168"/>
    </row>
    <row r="945" spans="5:7" ht="14.25" customHeight="1">
      <c r="E945" s="168"/>
      <c r="G945" s="168"/>
    </row>
    <row r="946" spans="5:7" ht="15" customHeight="1"/>
    <row r="947" spans="5:7" ht="15" customHeight="1"/>
  </sheetData>
  <mergeCells count="13">
    <mergeCell ref="B1:G1"/>
    <mergeCell ref="B4:B5"/>
    <mergeCell ref="E4:E5"/>
    <mergeCell ref="G4:G5"/>
    <mergeCell ref="B20:B21"/>
    <mergeCell ref="E20:E21"/>
    <mergeCell ref="G20:G21"/>
    <mergeCell ref="B10:B11"/>
    <mergeCell ref="E10:E11"/>
    <mergeCell ref="G10:G11"/>
    <mergeCell ref="B15:B16"/>
    <mergeCell ref="E15:E16"/>
    <mergeCell ref="G15:G1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12"/>
  <sheetViews>
    <sheetView topLeftCell="B46" zoomScale="115" zoomScaleNormal="115" workbookViewId="0">
      <selection activeCell="H40" sqref="H40"/>
    </sheetView>
  </sheetViews>
  <sheetFormatPr defaultColWidth="12.5546875" defaultRowHeight="15" customHeight="1"/>
  <cols>
    <col min="1" max="1" width="1.88671875" customWidth="1"/>
    <col min="2" max="2" width="55.33203125" customWidth="1"/>
    <col min="3" max="7" width="14.6640625" customWidth="1"/>
    <col min="8" max="8" width="8.5546875" customWidth="1"/>
    <col min="9" max="9" width="24.88671875" customWidth="1"/>
    <col min="10" max="10" width="8.5546875" customWidth="1"/>
    <col min="11" max="11" width="11.88671875" customWidth="1"/>
    <col min="12" max="12" width="22.6640625" customWidth="1"/>
    <col min="13" max="13" width="8.5546875" customWidth="1"/>
    <col min="14" max="14" width="24.88671875" customWidth="1"/>
    <col min="15" max="16" width="8.5546875" customWidth="1"/>
    <col min="17" max="17" width="24" customWidth="1"/>
    <col min="18" max="18" width="8.5546875" customWidth="1"/>
  </cols>
  <sheetData>
    <row r="1" spans="2:7" ht="18">
      <c r="B1" s="65" t="s">
        <v>38</v>
      </c>
      <c r="F1" s="1"/>
      <c r="G1" s="1"/>
    </row>
    <row r="2" spans="2:7" ht="15" customHeight="1" thickBot="1">
      <c r="F2" s="1"/>
      <c r="G2" s="1"/>
    </row>
    <row r="3" spans="2:7" ht="14.4">
      <c r="B3" s="4"/>
      <c r="C3" s="5" t="s">
        <v>0</v>
      </c>
      <c r="D3" s="6" t="s">
        <v>2</v>
      </c>
      <c r="E3" s="5" t="s">
        <v>39</v>
      </c>
      <c r="F3" s="6" t="s">
        <v>2</v>
      </c>
      <c r="G3" s="7" t="s">
        <v>1</v>
      </c>
    </row>
    <row r="4" spans="2:7" ht="14.4">
      <c r="B4" s="8"/>
      <c r="C4" s="9">
        <v>45747</v>
      </c>
      <c r="D4" s="153" t="s">
        <v>3</v>
      </c>
      <c r="E4" s="9" t="s">
        <v>4</v>
      </c>
      <c r="F4" s="153" t="s">
        <v>40</v>
      </c>
      <c r="G4" s="154" t="s">
        <v>5</v>
      </c>
    </row>
    <row r="5" spans="2:7" ht="14.4">
      <c r="B5" s="130" t="s">
        <v>41</v>
      </c>
      <c r="C5" s="88">
        <v>28120</v>
      </c>
      <c r="D5" s="141">
        <v>100</v>
      </c>
      <c r="E5" s="88">
        <v>36850</v>
      </c>
      <c r="F5" s="141">
        <v>100</v>
      </c>
      <c r="G5" s="139">
        <f>((C5/E5)-1)*100</f>
        <v>-23.690637720488471</v>
      </c>
    </row>
    <row r="6" spans="2:7" ht="14.4">
      <c r="B6" s="123" t="s">
        <v>42</v>
      </c>
      <c r="C6" s="124">
        <v>1124.8</v>
      </c>
      <c r="D6" s="91"/>
      <c r="E6" s="91">
        <v>2036.4</v>
      </c>
      <c r="F6" s="142"/>
      <c r="G6" s="88"/>
    </row>
    <row r="7" spans="2:7" ht="14.4">
      <c r="B7" s="131" t="s">
        <v>43</v>
      </c>
      <c r="C7" s="132">
        <f>C5-C6</f>
        <v>26995.200000000001</v>
      </c>
      <c r="D7" s="148">
        <f>(C7/C5)*100</f>
        <v>96.000000000000014</v>
      </c>
      <c r="E7" s="148">
        <f>E5-E6</f>
        <v>34813.599999999999</v>
      </c>
      <c r="F7" s="149">
        <f>(E7/E5)*100</f>
        <v>94.473812754409764</v>
      </c>
      <c r="G7" s="139">
        <f>((C7/E7)-1)*100</f>
        <v>-22.457890019992178</v>
      </c>
    </row>
    <row r="8" spans="2:7" ht="14.4">
      <c r="B8" s="123" t="s">
        <v>44</v>
      </c>
      <c r="C8" s="133">
        <v>16344.96</v>
      </c>
      <c r="D8" s="91"/>
      <c r="E8" s="91">
        <v>18328.650000000001</v>
      </c>
      <c r="F8" s="143"/>
      <c r="G8" s="88"/>
    </row>
    <row r="9" spans="2:7" ht="14.4">
      <c r="B9" s="131" t="s">
        <v>45</v>
      </c>
      <c r="C9" s="129">
        <f>C7-C8</f>
        <v>10650.240000000002</v>
      </c>
      <c r="D9" s="129">
        <f>(C9/C5)*100</f>
        <v>37.874253200568994</v>
      </c>
      <c r="E9" s="129">
        <f>E7-E8</f>
        <v>16484.949999999997</v>
      </c>
      <c r="F9" s="152">
        <f>(E9/E5)*100</f>
        <v>44.735278154681133</v>
      </c>
      <c r="G9" s="139">
        <f>((C9/E9)-1)*100</f>
        <v>-35.394162554329831</v>
      </c>
    </row>
    <row r="10" spans="2:7" ht="14.4">
      <c r="B10" s="134" t="s">
        <v>46</v>
      </c>
      <c r="C10" s="125">
        <f>C11+C24+C33</f>
        <v>18852.900000000001</v>
      </c>
      <c r="D10" s="64">
        <f>(C10/C5)*100</f>
        <v>67.044452347083933</v>
      </c>
      <c r="E10" s="64">
        <f>E11+E24+E33</f>
        <v>15870.17</v>
      </c>
      <c r="F10" s="64">
        <f>(E10/E5)*100</f>
        <v>43.066947082767982</v>
      </c>
      <c r="G10" s="88">
        <f>((C10/E10)-1)*100</f>
        <v>18.794568678218337</v>
      </c>
    </row>
    <row r="11" spans="2:7" ht="14.4">
      <c r="B11" s="136" t="s">
        <v>47</v>
      </c>
      <c r="C11" s="138">
        <f>SUM(C12:C23)</f>
        <v>13299.960000000001</v>
      </c>
      <c r="D11" s="144">
        <f>(C11/C5)*100</f>
        <v>47.297155049786632</v>
      </c>
      <c r="E11" s="145">
        <f>SUM(E12:E23)</f>
        <v>9757.59</v>
      </c>
      <c r="F11" s="144">
        <f>(E11/E5)*100</f>
        <v>26.47921302578019</v>
      </c>
      <c r="G11" s="145">
        <f>((C11/E11)-1)*100</f>
        <v>36.30373893553633</v>
      </c>
    </row>
    <row r="12" spans="2:7" ht="14.4">
      <c r="B12" s="137" t="s">
        <v>48</v>
      </c>
      <c r="C12" s="127">
        <v>295.69</v>
      </c>
      <c r="D12" s="146"/>
      <c r="E12" s="89">
        <v>441.31</v>
      </c>
      <c r="F12" s="146"/>
      <c r="G12" s="88"/>
    </row>
    <row r="13" spans="2:7" ht="14.4">
      <c r="B13" s="137" t="s">
        <v>49</v>
      </c>
      <c r="C13" s="127">
        <v>554.66999999999996</v>
      </c>
      <c r="D13" s="146"/>
      <c r="E13" s="89">
        <v>565.24</v>
      </c>
      <c r="F13" s="146"/>
      <c r="G13" s="88"/>
    </row>
    <row r="14" spans="2:7" ht="14.4">
      <c r="B14" s="137" t="s">
        <v>50</v>
      </c>
      <c r="C14" s="127">
        <v>377.46</v>
      </c>
      <c r="D14" s="146"/>
      <c r="E14" s="89">
        <v>387.26</v>
      </c>
      <c r="F14" s="146"/>
      <c r="G14" s="88"/>
    </row>
    <row r="15" spans="2:7" ht="14.4">
      <c r="B15" s="137" t="s">
        <v>51</v>
      </c>
      <c r="C15" s="127">
        <v>430.36</v>
      </c>
      <c r="D15" s="146"/>
      <c r="E15" s="89">
        <v>216.24</v>
      </c>
      <c r="F15" s="146"/>
      <c r="G15" s="88"/>
    </row>
    <row r="16" spans="2:7" ht="14.4">
      <c r="B16" s="137" t="s">
        <v>52</v>
      </c>
      <c r="C16" s="127">
        <v>1907.42</v>
      </c>
      <c r="D16" s="146"/>
      <c r="E16" s="89">
        <v>0</v>
      </c>
      <c r="F16" s="146"/>
      <c r="G16" s="88"/>
    </row>
    <row r="17" spans="2:7" ht="14.4">
      <c r="B17" s="137" t="s">
        <v>53</v>
      </c>
      <c r="C17" s="127">
        <v>2500</v>
      </c>
      <c r="D17" s="146"/>
      <c r="E17" s="89">
        <v>1260</v>
      </c>
      <c r="F17" s="146"/>
      <c r="G17" s="88"/>
    </row>
    <row r="18" spans="2:7" ht="14.4">
      <c r="B18" s="137" t="s">
        <v>54</v>
      </c>
      <c r="C18" s="127">
        <v>288</v>
      </c>
      <c r="D18" s="146"/>
      <c r="E18" s="89">
        <v>0</v>
      </c>
      <c r="F18" s="146"/>
      <c r="G18" s="88"/>
    </row>
    <row r="19" spans="2:7" ht="14.4">
      <c r="B19" s="137" t="s">
        <v>55</v>
      </c>
      <c r="C19" s="127">
        <v>870</v>
      </c>
      <c r="D19" s="146"/>
      <c r="E19" s="89">
        <v>870</v>
      </c>
      <c r="F19" s="146"/>
      <c r="G19" s="88"/>
    </row>
    <row r="20" spans="2:7" ht="14.4">
      <c r="B20" s="137" t="s">
        <v>56</v>
      </c>
      <c r="C20" s="127">
        <v>279.95999999999998</v>
      </c>
      <c r="D20" s="146"/>
      <c r="E20" s="89">
        <v>419.94</v>
      </c>
      <c r="F20" s="146"/>
      <c r="G20" s="88"/>
    </row>
    <row r="21" spans="2:7" ht="14.4">
      <c r="B21" s="137" t="s">
        <v>57</v>
      </c>
      <c r="C21" s="127">
        <v>2200</v>
      </c>
      <c r="D21" s="146"/>
      <c r="E21" s="89">
        <v>2200</v>
      </c>
      <c r="F21" s="146"/>
      <c r="G21" s="88"/>
    </row>
    <row r="22" spans="2:7" ht="14.4">
      <c r="B22" s="137" t="s">
        <v>58</v>
      </c>
      <c r="C22" s="127">
        <v>3000</v>
      </c>
      <c r="D22" s="146"/>
      <c r="E22" s="89">
        <v>3000</v>
      </c>
      <c r="F22" s="146"/>
      <c r="G22" s="88"/>
    </row>
    <row r="23" spans="2:7" ht="14.4">
      <c r="B23" s="137" t="s">
        <v>59</v>
      </c>
      <c r="C23" s="127">
        <v>596.4</v>
      </c>
      <c r="D23" s="146"/>
      <c r="E23" s="89">
        <v>397.6</v>
      </c>
      <c r="F23" s="146"/>
      <c r="G23" s="88"/>
    </row>
    <row r="24" spans="2:7" ht="14.4">
      <c r="B24" s="136" t="s">
        <v>60</v>
      </c>
      <c r="C24" s="138">
        <f>SUM(C25:C31)</f>
        <v>5552.94</v>
      </c>
      <c r="D24" s="144">
        <f>(C24/C5)*100</f>
        <v>19.747297297297294</v>
      </c>
      <c r="E24" s="145">
        <f>SUM(E25:E32)</f>
        <v>6112.58</v>
      </c>
      <c r="F24" s="144">
        <f>(E24/E5)*100</f>
        <v>16.587734056987788</v>
      </c>
      <c r="G24" s="139">
        <f>((C24/E24)-1)*100</f>
        <v>-9.1555447945057651</v>
      </c>
    </row>
    <row r="25" spans="2:7" ht="14.4">
      <c r="B25" s="137" t="s">
        <v>61</v>
      </c>
      <c r="C25" s="135">
        <v>730</v>
      </c>
      <c r="D25" s="146"/>
      <c r="E25" s="89">
        <v>400</v>
      </c>
      <c r="F25" s="146"/>
      <c r="G25" s="88"/>
    </row>
    <row r="26" spans="2:7" ht="14.4">
      <c r="B26" s="137" t="s">
        <v>62</v>
      </c>
      <c r="C26" s="135">
        <v>2100</v>
      </c>
      <c r="D26" s="146"/>
      <c r="E26" s="89">
        <v>2100</v>
      </c>
      <c r="F26" s="146"/>
      <c r="G26" s="88"/>
    </row>
    <row r="27" spans="2:7" ht="14.4">
      <c r="B27" s="137" t="s">
        <v>63</v>
      </c>
      <c r="C27" s="135">
        <v>174.99</v>
      </c>
      <c r="D27" s="146"/>
      <c r="E27" s="89">
        <v>174.99</v>
      </c>
      <c r="F27" s="146"/>
      <c r="G27" s="88"/>
    </row>
    <row r="28" spans="2:7" ht="14.4">
      <c r="B28" s="137" t="s">
        <v>64</v>
      </c>
      <c r="C28" s="135">
        <v>233.31</v>
      </c>
      <c r="D28" s="146"/>
      <c r="E28" s="89">
        <v>233.31</v>
      </c>
      <c r="F28" s="146"/>
      <c r="G28" s="88"/>
    </row>
    <row r="29" spans="2:7" ht="14.4">
      <c r="B29" s="137" t="s">
        <v>65</v>
      </c>
      <c r="C29" s="126">
        <v>200.64</v>
      </c>
      <c r="D29" s="146"/>
      <c r="E29" s="89">
        <v>431.19</v>
      </c>
      <c r="F29" s="146"/>
      <c r="G29" s="88"/>
    </row>
    <row r="30" spans="2:7" ht="14.4">
      <c r="B30" s="137" t="s">
        <v>66</v>
      </c>
      <c r="C30" s="127">
        <v>910</v>
      </c>
      <c r="D30" s="146"/>
      <c r="E30" s="89">
        <v>1227</v>
      </c>
      <c r="F30" s="146"/>
      <c r="G30" s="88"/>
    </row>
    <row r="31" spans="2:7" ht="14.4">
      <c r="B31" s="137" t="s">
        <v>67</v>
      </c>
      <c r="C31" s="126">
        <v>1204</v>
      </c>
      <c r="D31" s="146"/>
      <c r="E31" s="89">
        <v>1320</v>
      </c>
      <c r="F31" s="146"/>
      <c r="G31" s="88"/>
    </row>
    <row r="32" spans="2:7" ht="14.4">
      <c r="B32" s="137" t="s">
        <v>68</v>
      </c>
      <c r="C32" s="150">
        <v>0</v>
      </c>
      <c r="D32" s="146"/>
      <c r="E32" s="89">
        <v>226.09</v>
      </c>
      <c r="F32" s="146"/>
      <c r="G32" s="88"/>
    </row>
    <row r="33" spans="2:7" ht="15.75" customHeight="1">
      <c r="B33" s="136" t="s">
        <v>69</v>
      </c>
      <c r="C33" s="151">
        <v>0</v>
      </c>
      <c r="D33" s="145">
        <v>0</v>
      </c>
      <c r="E33" s="145">
        <v>0</v>
      </c>
      <c r="F33" s="144">
        <v>0</v>
      </c>
      <c r="G33" s="145">
        <v>0</v>
      </c>
    </row>
    <row r="34" spans="2:7" ht="15.75" customHeight="1">
      <c r="B34" s="130" t="s">
        <v>70</v>
      </c>
      <c r="C34" s="139">
        <f>C9-C10</f>
        <v>-8202.66</v>
      </c>
      <c r="D34" s="139">
        <f>(C34/C5)*100</f>
        <v>-29.170199146514936</v>
      </c>
      <c r="E34" s="88">
        <f>E9-E10</f>
        <v>614.77999999999702</v>
      </c>
      <c r="F34" s="88">
        <f>(E34/E5)*100</f>
        <v>1.6683310719131534</v>
      </c>
      <c r="G34" s="139">
        <f>((C34/E34)-1)*100</f>
        <v>-1434.2431438888773</v>
      </c>
    </row>
    <row r="35" spans="2:7" ht="15.75" customHeight="1">
      <c r="B35" s="130" t="s">
        <v>71</v>
      </c>
      <c r="C35" s="88">
        <v>0</v>
      </c>
      <c r="D35" s="88">
        <f>(C35/C5)*100</f>
        <v>0</v>
      </c>
      <c r="E35" s="88">
        <v>0</v>
      </c>
      <c r="F35" s="88">
        <f>(E35/E5)*100</f>
        <v>0</v>
      </c>
      <c r="G35" s="155">
        <v>0</v>
      </c>
    </row>
    <row r="36" spans="2:7" ht="15.75" customHeight="1">
      <c r="B36" s="130" t="s">
        <v>72</v>
      </c>
      <c r="C36" s="139">
        <f>C34+C35</f>
        <v>-8202.66</v>
      </c>
      <c r="D36" s="139">
        <f>(C36/C5)*100</f>
        <v>-29.170199146514936</v>
      </c>
      <c r="E36" s="88">
        <f>E34+E35</f>
        <v>614.77999999999702</v>
      </c>
      <c r="F36" s="147">
        <f>(E36/E5)*100</f>
        <v>1.6683310719131534</v>
      </c>
      <c r="G36" s="139">
        <f>((C36/E36)-1)*100</f>
        <v>-1434.2431438888773</v>
      </c>
    </row>
    <row r="37" spans="2:7" ht="15.75" customHeight="1">
      <c r="B37" s="14" t="s">
        <v>73</v>
      </c>
      <c r="C37" s="88">
        <v>0</v>
      </c>
      <c r="D37" s="155">
        <f>(C37/C5)*100</f>
        <v>0</v>
      </c>
      <c r="E37" s="88">
        <v>0</v>
      </c>
      <c r="F37" s="156">
        <f>(E37/E5)*100</f>
        <v>0</v>
      </c>
      <c r="G37" s="155">
        <v>0</v>
      </c>
    </row>
    <row r="38" spans="2:7" ht="15.75" customHeight="1">
      <c r="B38" s="130" t="s">
        <v>74</v>
      </c>
      <c r="C38" s="140">
        <f>C36+C37</f>
        <v>-8202.66</v>
      </c>
      <c r="D38" s="140">
        <f>(C38/C5)*100</f>
        <v>-29.170199146514936</v>
      </c>
      <c r="E38" s="64">
        <f>E36+E37</f>
        <v>614.77999999999702</v>
      </c>
      <c r="F38" s="64">
        <f>(E38/E5)*100</f>
        <v>1.6683310719131534</v>
      </c>
      <c r="G38" s="139">
        <f>((C38/E38)-1)*100</f>
        <v>-1434.2431438888773</v>
      </c>
    </row>
    <row r="39" spans="2:7" ht="15.75" customHeight="1" thickBot="1">
      <c r="B39" s="16"/>
      <c r="C39" s="128"/>
      <c r="D39" s="16"/>
      <c r="E39" s="16"/>
      <c r="F39" s="17"/>
      <c r="G39" s="18"/>
    </row>
    <row r="40" spans="2:7" ht="15.75" customHeight="1">
      <c r="F40" s="1"/>
      <c r="G40" s="1"/>
    </row>
    <row r="41" spans="2:7" ht="15.75" customHeight="1" thickBot="1">
      <c r="B41" s="19" t="s">
        <v>75</v>
      </c>
      <c r="C41" s="20"/>
      <c r="D41" s="20"/>
      <c r="E41" s="20"/>
      <c r="F41" s="1"/>
      <c r="G41" s="1"/>
    </row>
    <row r="42" spans="2:7" ht="15.75" customHeight="1">
      <c r="B42" s="21"/>
      <c r="C42" s="55" t="s">
        <v>39</v>
      </c>
      <c r="D42" s="53"/>
      <c r="E42" s="5" t="s">
        <v>39</v>
      </c>
      <c r="F42" s="6"/>
      <c r="G42" s="7"/>
    </row>
    <row r="43" spans="2:7" ht="15.75" customHeight="1">
      <c r="B43" s="58"/>
      <c r="C43" s="56">
        <v>46022</v>
      </c>
      <c r="D43" s="54"/>
      <c r="E43" s="9">
        <v>45657</v>
      </c>
      <c r="F43" s="10"/>
      <c r="G43" s="11"/>
    </row>
    <row r="44" spans="2:7" ht="15.75" customHeight="1">
      <c r="B44" s="22" t="s">
        <v>76</v>
      </c>
      <c r="C44" s="48"/>
      <c r="D44" s="49"/>
      <c r="E44" s="23"/>
      <c r="F44" s="24"/>
      <c r="G44" s="25"/>
    </row>
    <row r="45" spans="2:7" ht="15.75" customHeight="1">
      <c r="B45" s="59" t="s">
        <v>77</v>
      </c>
      <c r="C45" s="159">
        <v>334136</v>
      </c>
      <c r="D45" s="50"/>
      <c r="E45" s="26">
        <v>326491</v>
      </c>
      <c r="F45" s="27"/>
      <c r="G45" s="28"/>
    </row>
    <row r="46" spans="2:7" ht="15.75" customHeight="1">
      <c r="B46" s="59" t="s">
        <v>78</v>
      </c>
      <c r="C46" s="159">
        <v>267009</v>
      </c>
      <c r="D46" s="50"/>
      <c r="E46" s="26">
        <v>256266</v>
      </c>
      <c r="F46" s="27"/>
      <c r="G46" s="28"/>
    </row>
    <row r="47" spans="2:7" ht="15.75" customHeight="1">
      <c r="B47" s="58" t="s">
        <v>79</v>
      </c>
      <c r="C47" s="48"/>
      <c r="D47" s="44"/>
      <c r="E47" s="15"/>
      <c r="F47" s="27"/>
      <c r="G47" s="28"/>
    </row>
    <row r="48" spans="2:7" ht="15.75" customHeight="1">
      <c r="B48" s="59" t="s">
        <v>77</v>
      </c>
      <c r="C48" s="159">
        <v>105173</v>
      </c>
      <c r="D48" s="50"/>
      <c r="E48" s="26">
        <v>82457</v>
      </c>
      <c r="F48" s="27"/>
      <c r="G48" s="28"/>
    </row>
    <row r="49" spans="2:14" ht="15.75" customHeight="1">
      <c r="B49" s="59" t="s">
        <v>78</v>
      </c>
      <c r="C49" s="159">
        <v>292874</v>
      </c>
      <c r="D49" s="50"/>
      <c r="E49" s="26">
        <v>271060</v>
      </c>
      <c r="F49" s="27"/>
      <c r="G49" s="28"/>
    </row>
    <row r="50" spans="2:14" ht="15.75" customHeight="1">
      <c r="B50" s="58" t="s">
        <v>80</v>
      </c>
      <c r="C50" s="48"/>
      <c r="D50" s="44"/>
      <c r="E50" s="15"/>
      <c r="F50" s="27"/>
      <c r="G50" s="28"/>
    </row>
    <row r="51" spans="2:14" ht="15.75" customHeight="1">
      <c r="B51" s="59" t="s">
        <v>77</v>
      </c>
      <c r="C51" s="57"/>
      <c r="D51" s="51"/>
      <c r="E51" s="29"/>
      <c r="F51" s="30"/>
      <c r="G51" s="28"/>
    </row>
    <row r="52" spans="2:14" ht="15.75" customHeight="1">
      <c r="B52" s="59" t="s">
        <v>78</v>
      </c>
      <c r="C52" s="159">
        <v>1150</v>
      </c>
      <c r="D52" s="50"/>
      <c r="E52" s="26">
        <v>2194</v>
      </c>
      <c r="F52" s="27"/>
      <c r="G52" s="28"/>
    </row>
    <row r="53" spans="2:14" ht="15.75" customHeight="1" thickBot="1">
      <c r="B53" s="31" t="s">
        <v>81</v>
      </c>
      <c r="C53" s="47">
        <f>SUM(C45:C52)</f>
        <v>1000342</v>
      </c>
      <c r="D53" s="52"/>
      <c r="E53" s="32">
        <f>SUM(E45:E52)</f>
        <v>938468</v>
      </c>
      <c r="F53" s="33"/>
      <c r="G53" s="34"/>
    </row>
    <row r="54" spans="2:14" ht="15.75" customHeight="1">
      <c r="C54" s="20"/>
      <c r="D54" s="20"/>
      <c r="E54" s="20"/>
      <c r="F54" s="1"/>
      <c r="G54" s="1"/>
    </row>
    <row r="55" spans="2:14" ht="15.75" customHeight="1">
      <c r="F55" s="250" t="s">
        <v>82</v>
      </c>
      <c r="G55" s="250"/>
      <c r="H55" s="250"/>
      <c r="I55" s="250"/>
      <c r="K55" s="250" t="s">
        <v>83</v>
      </c>
      <c r="L55" s="250"/>
      <c r="M55" s="250"/>
      <c r="N55" s="250"/>
    </row>
    <row r="56" spans="2:14" ht="15.75" customHeight="1">
      <c r="F56" s="251"/>
      <c r="G56" s="251"/>
      <c r="H56" s="251"/>
      <c r="I56" s="251"/>
      <c r="K56" s="251"/>
      <c r="L56" s="251"/>
      <c r="M56" s="251"/>
      <c r="N56" s="251"/>
    </row>
    <row r="57" spans="2:14" ht="15.75" customHeight="1">
      <c r="F57" s="66" t="s">
        <v>84</v>
      </c>
      <c r="G57" s="67"/>
      <c r="H57" s="68"/>
      <c r="I57" s="69">
        <v>1196668</v>
      </c>
      <c r="K57" s="66" t="s">
        <v>84</v>
      </c>
      <c r="L57" s="67"/>
      <c r="M57" s="68"/>
      <c r="N57" s="69">
        <v>1457566</v>
      </c>
    </row>
    <row r="58" spans="2:14" ht="15.75" customHeight="1">
      <c r="F58" s="70" t="s">
        <v>85</v>
      </c>
      <c r="G58" s="71"/>
      <c r="H58" s="72"/>
      <c r="I58" s="73">
        <v>106961</v>
      </c>
      <c r="K58" s="70" t="s">
        <v>85</v>
      </c>
      <c r="L58" s="71"/>
      <c r="M58" s="72"/>
      <c r="N58" s="73">
        <v>127843</v>
      </c>
    </row>
    <row r="59" spans="2:14" ht="15.75" customHeight="1">
      <c r="F59" s="74" t="s">
        <v>86</v>
      </c>
      <c r="G59" s="75"/>
      <c r="H59" s="76"/>
      <c r="I59" s="77">
        <v>327887</v>
      </c>
      <c r="K59" s="74" t="s">
        <v>86</v>
      </c>
      <c r="L59" s="75"/>
      <c r="M59" s="76"/>
      <c r="N59" s="77">
        <v>280239</v>
      </c>
    </row>
    <row r="60" spans="2:14" ht="15.75" customHeight="1">
      <c r="F60" s="78" t="s">
        <v>87</v>
      </c>
      <c r="G60" s="71"/>
      <c r="H60" s="72"/>
      <c r="I60" s="79">
        <v>344288</v>
      </c>
      <c r="K60" s="78" t="s">
        <v>87</v>
      </c>
      <c r="L60" s="71"/>
      <c r="M60" s="72"/>
      <c r="N60" s="79">
        <v>289845</v>
      </c>
    </row>
    <row r="61" spans="2:14" ht="15.75" customHeight="1">
      <c r="F61" s="74" t="s">
        <v>88</v>
      </c>
      <c r="G61" s="75"/>
      <c r="H61" s="76"/>
      <c r="I61" s="77">
        <v>938468</v>
      </c>
      <c r="K61" s="74" t="s">
        <v>88</v>
      </c>
      <c r="L61" s="75"/>
      <c r="M61" s="76"/>
      <c r="N61" s="77">
        <v>1000342</v>
      </c>
    </row>
    <row r="62" spans="2:14" ht="15.75" customHeight="1">
      <c r="F62" s="80" t="s">
        <v>89</v>
      </c>
      <c r="G62" s="81"/>
      <c r="H62" s="82"/>
      <c r="I62" s="83">
        <f>I57+I58+I59+I61-I60</f>
        <v>2225696</v>
      </c>
      <c r="K62" s="80" t="s">
        <v>89</v>
      </c>
      <c r="L62" s="81"/>
      <c r="M62" s="82"/>
      <c r="N62" s="83">
        <f>N57+N58+N59+N61-N60</f>
        <v>2576145</v>
      </c>
    </row>
    <row r="63" spans="2:14" ht="15.75" customHeight="1">
      <c r="F63" s="1"/>
      <c r="G63" s="1"/>
    </row>
    <row r="64" spans="2:14" ht="15.75" customHeight="1">
      <c r="F64" s="1"/>
      <c r="G64" s="1"/>
    </row>
    <row r="65" spans="6:7" ht="15.75" customHeight="1">
      <c r="F65" s="1"/>
      <c r="G65" s="1"/>
    </row>
    <row r="66" spans="6:7" ht="15.75" customHeight="1">
      <c r="F66" s="1"/>
      <c r="G66" s="1"/>
    </row>
    <row r="67" spans="6:7" ht="15.75" customHeight="1">
      <c r="F67" s="1"/>
      <c r="G67" s="1"/>
    </row>
    <row r="68" spans="6:7" ht="15.75" customHeight="1">
      <c r="F68" s="1"/>
      <c r="G68" s="1"/>
    </row>
    <row r="69" spans="6:7" ht="15.75" customHeight="1">
      <c r="F69" s="1"/>
      <c r="G69" s="1"/>
    </row>
    <row r="70" spans="6:7" ht="15.75" customHeight="1">
      <c r="F70" s="1"/>
      <c r="G70" s="1"/>
    </row>
    <row r="71" spans="6:7" ht="15.75" customHeight="1">
      <c r="F71" s="1"/>
      <c r="G71" s="1"/>
    </row>
    <row r="72" spans="6:7" ht="15.75" customHeight="1">
      <c r="F72" s="1"/>
      <c r="G72" s="1"/>
    </row>
    <row r="73" spans="6:7" ht="15.75" customHeight="1">
      <c r="F73" s="1"/>
      <c r="G73" s="1"/>
    </row>
    <row r="74" spans="6:7" ht="15.75" customHeight="1">
      <c r="F74" s="1"/>
      <c r="G74" s="1"/>
    </row>
    <row r="75" spans="6:7" ht="15.75" customHeight="1">
      <c r="F75" s="1"/>
      <c r="G75" s="1"/>
    </row>
    <row r="76" spans="6:7" ht="15.75" customHeight="1">
      <c r="F76" s="1"/>
      <c r="G76" s="1"/>
    </row>
    <row r="77" spans="6:7" ht="15.75" customHeight="1">
      <c r="F77" s="1"/>
      <c r="G77" s="1"/>
    </row>
    <row r="78" spans="6:7" ht="15.75" customHeight="1">
      <c r="F78" s="1"/>
      <c r="G78" s="1"/>
    </row>
    <row r="79" spans="6:7" ht="15.75" customHeight="1">
      <c r="F79" s="1"/>
      <c r="G79" s="1"/>
    </row>
    <row r="80" spans="6:7" ht="15.75" customHeight="1">
      <c r="F80" s="1"/>
      <c r="G80" s="1"/>
    </row>
    <row r="81" spans="6:7" ht="15.75" customHeight="1">
      <c r="F81" s="1"/>
      <c r="G81" s="1"/>
    </row>
    <row r="82" spans="6:7" ht="15.75" customHeight="1">
      <c r="F82" s="1"/>
      <c r="G82" s="1"/>
    </row>
    <row r="83" spans="6:7" ht="15.75" customHeight="1">
      <c r="F83" s="1"/>
      <c r="G83" s="1"/>
    </row>
    <row r="84" spans="6:7" ht="15.75" customHeight="1">
      <c r="F84" s="1"/>
      <c r="G84" s="1"/>
    </row>
    <row r="85" spans="6:7" ht="15.75" customHeight="1">
      <c r="F85" s="1"/>
      <c r="G85" s="1"/>
    </row>
    <row r="86" spans="6:7" ht="15.75" customHeight="1">
      <c r="F86" s="1"/>
      <c r="G86" s="1"/>
    </row>
    <row r="87" spans="6:7" ht="15.75" customHeight="1">
      <c r="F87" s="1"/>
      <c r="G87" s="1"/>
    </row>
    <row r="88" spans="6:7" ht="15.75" customHeight="1">
      <c r="F88" s="1"/>
      <c r="G88" s="1"/>
    </row>
    <row r="89" spans="6:7" ht="15.75" customHeight="1">
      <c r="F89" s="1"/>
      <c r="G89" s="1"/>
    </row>
    <row r="90" spans="6:7" ht="15.75" customHeight="1">
      <c r="F90" s="1"/>
      <c r="G90" s="1"/>
    </row>
    <row r="91" spans="6:7" ht="15.75" customHeight="1">
      <c r="F91" s="1"/>
      <c r="G91" s="1"/>
    </row>
    <row r="92" spans="6:7" ht="15.75" customHeight="1">
      <c r="F92" s="1"/>
      <c r="G92" s="1"/>
    </row>
    <row r="93" spans="6:7" ht="15.75" customHeight="1">
      <c r="F93" s="1"/>
      <c r="G93" s="1"/>
    </row>
    <row r="94" spans="6:7" ht="15.75" customHeight="1">
      <c r="F94" s="1"/>
      <c r="G94" s="1"/>
    </row>
    <row r="95" spans="6:7" ht="15.75" customHeight="1">
      <c r="F95" s="1"/>
      <c r="G95" s="1"/>
    </row>
    <row r="96" spans="6:7" ht="15.75" customHeight="1">
      <c r="F96" s="1"/>
      <c r="G96" s="1"/>
    </row>
    <row r="97" spans="6:7" ht="15.75" customHeight="1">
      <c r="F97" s="1"/>
      <c r="G97" s="1"/>
    </row>
    <row r="98" spans="6:7" ht="15.75" customHeight="1">
      <c r="F98" s="1"/>
      <c r="G98" s="1"/>
    </row>
    <row r="99" spans="6:7" ht="15.75" customHeight="1">
      <c r="F99" s="1"/>
      <c r="G99" s="1"/>
    </row>
    <row r="100" spans="6:7" ht="15.75" customHeight="1">
      <c r="F100" s="1"/>
      <c r="G100" s="1"/>
    </row>
    <row r="101" spans="6:7" ht="15.75" customHeight="1">
      <c r="F101" s="1"/>
      <c r="G101" s="1"/>
    </row>
    <row r="102" spans="6:7" ht="15.75" customHeight="1">
      <c r="F102" s="1"/>
      <c r="G102" s="1"/>
    </row>
    <row r="103" spans="6:7" ht="15.75" customHeight="1">
      <c r="F103" s="1"/>
      <c r="G103" s="1"/>
    </row>
    <row r="104" spans="6:7" ht="15.75" customHeight="1">
      <c r="F104" s="1"/>
      <c r="G104" s="1"/>
    </row>
    <row r="105" spans="6:7" ht="15.75" customHeight="1">
      <c r="F105" s="1"/>
      <c r="G105" s="1"/>
    </row>
    <row r="106" spans="6:7" ht="15.75" customHeight="1">
      <c r="F106" s="1"/>
      <c r="G106" s="1"/>
    </row>
    <row r="107" spans="6:7" ht="15.75" customHeight="1">
      <c r="F107" s="1"/>
      <c r="G107" s="1"/>
    </row>
    <row r="108" spans="6:7" ht="15.75" customHeight="1">
      <c r="F108" s="1"/>
      <c r="G108" s="1"/>
    </row>
    <row r="109" spans="6:7" ht="15.75" customHeight="1">
      <c r="F109" s="1"/>
      <c r="G109" s="1"/>
    </row>
    <row r="110" spans="6:7" ht="15.75" customHeight="1">
      <c r="F110" s="1"/>
      <c r="G110" s="1"/>
    </row>
    <row r="111" spans="6:7" ht="15.75" customHeight="1">
      <c r="F111" s="1"/>
      <c r="G111" s="1"/>
    </row>
    <row r="112" spans="6:7" ht="15.75" customHeight="1">
      <c r="F112" s="1"/>
      <c r="G112" s="1"/>
    </row>
    <row r="113" spans="6:7" ht="15.75" customHeight="1">
      <c r="F113" s="1"/>
      <c r="G113" s="1"/>
    </row>
    <row r="114" spans="6:7" ht="15.75" customHeight="1">
      <c r="F114" s="1"/>
      <c r="G114" s="1"/>
    </row>
    <row r="115" spans="6:7" ht="15.75" customHeight="1">
      <c r="F115" s="1"/>
      <c r="G115" s="1"/>
    </row>
    <row r="116" spans="6:7" ht="15.75" customHeight="1">
      <c r="F116" s="1"/>
      <c r="G116" s="1"/>
    </row>
    <row r="117" spans="6:7" ht="15.75" customHeight="1">
      <c r="F117" s="1"/>
      <c r="G117" s="1"/>
    </row>
    <row r="118" spans="6:7" ht="15.75" customHeight="1">
      <c r="F118" s="1"/>
      <c r="G118" s="1"/>
    </row>
    <row r="119" spans="6:7" ht="15.75" customHeight="1">
      <c r="F119" s="1"/>
      <c r="G119" s="1"/>
    </row>
    <row r="120" spans="6:7" ht="15.75" customHeight="1">
      <c r="F120" s="1"/>
      <c r="G120" s="1"/>
    </row>
    <row r="121" spans="6:7" ht="15.75" customHeight="1">
      <c r="F121" s="1"/>
      <c r="G121" s="1"/>
    </row>
    <row r="122" spans="6:7" ht="15.75" customHeight="1">
      <c r="F122" s="1"/>
      <c r="G122" s="1"/>
    </row>
    <row r="123" spans="6:7" ht="15.75" customHeight="1">
      <c r="F123" s="1"/>
      <c r="G123" s="1"/>
    </row>
    <row r="124" spans="6:7" ht="15.75" customHeight="1">
      <c r="F124" s="1"/>
      <c r="G124" s="1"/>
    </row>
    <row r="125" spans="6:7" ht="15.75" customHeight="1">
      <c r="F125" s="1"/>
      <c r="G125" s="1"/>
    </row>
    <row r="126" spans="6:7" ht="15.75" customHeight="1">
      <c r="F126" s="1"/>
      <c r="G126" s="1"/>
    </row>
    <row r="127" spans="6:7" ht="15.75" customHeight="1">
      <c r="F127" s="1"/>
      <c r="G127" s="1"/>
    </row>
    <row r="128" spans="6:7" ht="15.75" customHeight="1">
      <c r="F128" s="1"/>
      <c r="G128" s="1"/>
    </row>
    <row r="129" spans="6:7" ht="15.75" customHeight="1">
      <c r="F129" s="1"/>
      <c r="G129" s="1"/>
    </row>
    <row r="130" spans="6:7" ht="15.75" customHeight="1">
      <c r="F130" s="1"/>
      <c r="G130" s="1"/>
    </row>
    <row r="131" spans="6:7" ht="15.75" customHeight="1">
      <c r="F131" s="1"/>
      <c r="G131" s="1"/>
    </row>
    <row r="132" spans="6:7" ht="15.75" customHeight="1">
      <c r="F132" s="1"/>
      <c r="G132" s="1"/>
    </row>
    <row r="133" spans="6:7" ht="15.75" customHeight="1">
      <c r="F133" s="1"/>
      <c r="G133" s="1"/>
    </row>
    <row r="134" spans="6:7" ht="15.75" customHeight="1">
      <c r="F134" s="1"/>
      <c r="G134" s="1"/>
    </row>
    <row r="135" spans="6:7" ht="15.75" customHeight="1">
      <c r="F135" s="1"/>
      <c r="G135" s="1"/>
    </row>
    <row r="136" spans="6:7" ht="15.75" customHeight="1">
      <c r="F136" s="1"/>
      <c r="G136" s="1"/>
    </row>
    <row r="137" spans="6:7" ht="15.75" customHeight="1">
      <c r="F137" s="1"/>
      <c r="G137" s="1"/>
    </row>
    <row r="138" spans="6:7" ht="15.75" customHeight="1">
      <c r="F138" s="1"/>
      <c r="G138" s="1"/>
    </row>
    <row r="139" spans="6:7" ht="15.75" customHeight="1">
      <c r="F139" s="1"/>
      <c r="G139" s="1"/>
    </row>
    <row r="140" spans="6:7" ht="15.75" customHeight="1">
      <c r="F140" s="1"/>
      <c r="G140" s="1"/>
    </row>
    <row r="141" spans="6:7" ht="15.75" customHeight="1">
      <c r="F141" s="1"/>
      <c r="G141" s="1"/>
    </row>
    <row r="142" spans="6:7" ht="15.75" customHeight="1">
      <c r="F142" s="1"/>
      <c r="G142" s="1"/>
    </row>
    <row r="143" spans="6:7" ht="15.75" customHeight="1">
      <c r="F143" s="1"/>
      <c r="G143" s="1"/>
    </row>
    <row r="144" spans="6:7" ht="15.75" customHeight="1">
      <c r="F144" s="1"/>
      <c r="G144" s="1"/>
    </row>
    <row r="145" spans="6:7" ht="15.75" customHeight="1">
      <c r="F145" s="1"/>
      <c r="G145" s="1"/>
    </row>
    <row r="146" spans="6:7" ht="15.75" customHeight="1">
      <c r="F146" s="1"/>
      <c r="G146" s="1"/>
    </row>
    <row r="147" spans="6:7" ht="15.75" customHeight="1">
      <c r="F147" s="1"/>
      <c r="G147" s="1"/>
    </row>
    <row r="148" spans="6:7" ht="15.75" customHeight="1">
      <c r="F148" s="1"/>
      <c r="G148" s="1"/>
    </row>
    <row r="149" spans="6:7" ht="15.75" customHeight="1">
      <c r="F149" s="1"/>
      <c r="G149" s="1"/>
    </row>
    <row r="150" spans="6:7" ht="15.75" customHeight="1">
      <c r="F150" s="1"/>
      <c r="G150" s="1"/>
    </row>
    <row r="151" spans="6:7" ht="15.75" customHeight="1">
      <c r="F151" s="1"/>
      <c r="G151" s="1"/>
    </row>
    <row r="152" spans="6:7" ht="15.75" customHeight="1">
      <c r="F152" s="1"/>
      <c r="G152" s="1"/>
    </row>
    <row r="153" spans="6:7" ht="15.75" customHeight="1">
      <c r="F153" s="1"/>
      <c r="G153" s="1"/>
    </row>
    <row r="154" spans="6:7" ht="15.75" customHeight="1">
      <c r="F154" s="1"/>
      <c r="G154" s="1"/>
    </row>
    <row r="155" spans="6:7" ht="15.75" customHeight="1">
      <c r="F155" s="1"/>
      <c r="G155" s="1"/>
    </row>
    <row r="156" spans="6:7" ht="15.75" customHeight="1">
      <c r="F156" s="1"/>
      <c r="G156" s="1"/>
    </row>
    <row r="157" spans="6:7" ht="15.75" customHeight="1">
      <c r="F157" s="1"/>
      <c r="G157" s="1"/>
    </row>
    <row r="158" spans="6:7" ht="15.75" customHeight="1">
      <c r="F158" s="1"/>
      <c r="G158" s="1"/>
    </row>
    <row r="159" spans="6:7" ht="15.75" customHeight="1">
      <c r="F159" s="1"/>
      <c r="G159" s="1"/>
    </row>
    <row r="160" spans="6:7" ht="15.75" customHeight="1">
      <c r="F160" s="1"/>
      <c r="G160" s="1"/>
    </row>
    <row r="161" spans="6:7" ht="15.75" customHeight="1">
      <c r="F161" s="1"/>
      <c r="G161" s="1"/>
    </row>
    <row r="162" spans="6:7" ht="15.75" customHeight="1">
      <c r="F162" s="1"/>
      <c r="G162" s="1"/>
    </row>
    <row r="163" spans="6:7" ht="15.75" customHeight="1">
      <c r="F163" s="1"/>
      <c r="G163" s="1"/>
    </row>
    <row r="164" spans="6:7" ht="15.75" customHeight="1">
      <c r="F164" s="1"/>
      <c r="G164" s="1"/>
    </row>
    <row r="165" spans="6:7" ht="15.75" customHeight="1">
      <c r="F165" s="1"/>
      <c r="G165" s="1"/>
    </row>
    <row r="166" spans="6:7" ht="15.75" customHeight="1">
      <c r="F166" s="1"/>
      <c r="G166" s="1"/>
    </row>
    <row r="167" spans="6:7" ht="15.75" customHeight="1">
      <c r="F167" s="1"/>
      <c r="G167" s="1"/>
    </row>
    <row r="168" spans="6:7" ht="15.75" customHeight="1">
      <c r="F168" s="1"/>
      <c r="G168" s="1"/>
    </row>
    <row r="169" spans="6:7" ht="15.75" customHeight="1">
      <c r="F169" s="1"/>
      <c r="G169" s="1"/>
    </row>
    <row r="170" spans="6:7" ht="15.75" customHeight="1">
      <c r="F170" s="1"/>
      <c r="G170" s="1"/>
    </row>
    <row r="171" spans="6:7" ht="15.75" customHeight="1">
      <c r="F171" s="1"/>
      <c r="G171" s="1"/>
    </row>
    <row r="172" spans="6:7" ht="15.75" customHeight="1">
      <c r="F172" s="1"/>
      <c r="G172" s="1"/>
    </row>
    <row r="173" spans="6:7" ht="15.75" customHeight="1">
      <c r="F173" s="1"/>
      <c r="G173" s="1"/>
    </row>
    <row r="174" spans="6:7" ht="15.75" customHeight="1">
      <c r="F174" s="1"/>
      <c r="G174" s="1"/>
    </row>
    <row r="175" spans="6:7" ht="15.75" customHeight="1">
      <c r="F175" s="1"/>
      <c r="G175" s="1"/>
    </row>
    <row r="176" spans="6:7" ht="15.75" customHeight="1">
      <c r="F176" s="1"/>
      <c r="G176" s="1"/>
    </row>
    <row r="177" spans="6:7" ht="15.75" customHeight="1">
      <c r="F177" s="1"/>
      <c r="G177" s="1"/>
    </row>
    <row r="178" spans="6:7" ht="15.75" customHeight="1">
      <c r="F178" s="1"/>
      <c r="G178" s="1"/>
    </row>
    <row r="179" spans="6:7" ht="15.75" customHeight="1">
      <c r="F179" s="1"/>
      <c r="G179" s="1"/>
    </row>
    <row r="180" spans="6:7" ht="15.75" customHeight="1">
      <c r="F180" s="1"/>
      <c r="G180" s="1"/>
    </row>
    <row r="181" spans="6:7" ht="15.75" customHeight="1">
      <c r="F181" s="1"/>
      <c r="G181" s="1"/>
    </row>
    <row r="182" spans="6:7" ht="15.75" customHeight="1">
      <c r="F182" s="1"/>
      <c r="G182" s="1"/>
    </row>
    <row r="183" spans="6:7" ht="15.75" customHeight="1">
      <c r="F183" s="1"/>
      <c r="G183" s="1"/>
    </row>
    <row r="184" spans="6:7" ht="15.75" customHeight="1">
      <c r="F184" s="1"/>
      <c r="G184" s="1"/>
    </row>
    <row r="185" spans="6:7" ht="15.75" customHeight="1">
      <c r="F185" s="1"/>
      <c r="G185" s="1"/>
    </row>
    <row r="186" spans="6:7" ht="15.75" customHeight="1">
      <c r="F186" s="1"/>
      <c r="G186" s="1"/>
    </row>
    <row r="187" spans="6:7" ht="15.75" customHeight="1">
      <c r="F187" s="1"/>
      <c r="G187" s="1"/>
    </row>
    <row r="188" spans="6:7" ht="15.75" customHeight="1">
      <c r="F188" s="1"/>
      <c r="G188" s="1"/>
    </row>
    <row r="189" spans="6:7" ht="15.75" customHeight="1">
      <c r="F189" s="1"/>
      <c r="G189" s="1"/>
    </row>
    <row r="190" spans="6:7" ht="15.75" customHeight="1">
      <c r="F190" s="1"/>
      <c r="G190" s="1"/>
    </row>
    <row r="191" spans="6:7" ht="15.75" customHeight="1">
      <c r="F191" s="1"/>
      <c r="G191" s="1"/>
    </row>
    <row r="192" spans="6:7" ht="15.75" customHeight="1">
      <c r="F192" s="1"/>
      <c r="G192" s="1"/>
    </row>
    <row r="193" spans="6:7" ht="15.75" customHeight="1">
      <c r="F193" s="1"/>
      <c r="G193" s="1"/>
    </row>
    <row r="194" spans="6:7" ht="15.75" customHeight="1">
      <c r="F194" s="1"/>
      <c r="G194" s="1"/>
    </row>
    <row r="195" spans="6:7" ht="15.75" customHeight="1">
      <c r="F195" s="1"/>
      <c r="G195" s="1"/>
    </row>
    <row r="196" spans="6:7" ht="15.75" customHeight="1">
      <c r="F196" s="1"/>
      <c r="G196" s="1"/>
    </row>
    <row r="197" spans="6:7" ht="15.75" customHeight="1">
      <c r="F197" s="1"/>
      <c r="G197" s="1"/>
    </row>
    <row r="198" spans="6:7" ht="15.75" customHeight="1">
      <c r="F198" s="1"/>
      <c r="G198" s="1"/>
    </row>
    <row r="199" spans="6:7" ht="15.75" customHeight="1">
      <c r="F199" s="1"/>
      <c r="G199" s="1"/>
    </row>
    <row r="200" spans="6:7" ht="15.75" customHeight="1">
      <c r="F200" s="1"/>
      <c r="G200" s="1"/>
    </row>
    <row r="201" spans="6:7" ht="15.75" customHeight="1">
      <c r="F201" s="1"/>
      <c r="G201" s="1"/>
    </row>
    <row r="202" spans="6:7" ht="15.75" customHeight="1">
      <c r="F202" s="1"/>
      <c r="G202" s="1"/>
    </row>
    <row r="203" spans="6:7" ht="15.75" customHeight="1">
      <c r="F203" s="1"/>
      <c r="G203" s="1"/>
    </row>
    <row r="204" spans="6:7" ht="15.75" customHeight="1">
      <c r="F204" s="1"/>
      <c r="G204" s="1"/>
    </row>
    <row r="205" spans="6:7" ht="15.75" customHeight="1">
      <c r="F205" s="1"/>
      <c r="G205" s="1"/>
    </row>
    <row r="206" spans="6:7" ht="15.75" customHeight="1">
      <c r="F206" s="1"/>
      <c r="G206" s="1"/>
    </row>
    <row r="207" spans="6:7" ht="15.75" customHeight="1">
      <c r="F207" s="1"/>
      <c r="G207" s="1"/>
    </row>
    <row r="208" spans="6:7" ht="15.75" customHeight="1">
      <c r="F208" s="1"/>
      <c r="G208" s="1"/>
    </row>
    <row r="209" spans="6:7" ht="15.75" customHeight="1">
      <c r="F209" s="1"/>
      <c r="G209" s="1"/>
    </row>
    <row r="210" spans="6:7" ht="15.75" customHeight="1">
      <c r="F210" s="1"/>
      <c r="G210" s="1"/>
    </row>
    <row r="211" spans="6:7" ht="15.75" customHeight="1">
      <c r="F211" s="1"/>
      <c r="G211" s="1"/>
    </row>
    <row r="212" spans="6:7" ht="15.75" customHeight="1">
      <c r="F212" s="1"/>
      <c r="G212" s="1"/>
    </row>
    <row r="213" spans="6:7" ht="15.75" customHeight="1">
      <c r="F213" s="1"/>
      <c r="G213" s="1"/>
    </row>
    <row r="214" spans="6:7" ht="15.75" customHeight="1">
      <c r="F214" s="1"/>
      <c r="G214" s="1"/>
    </row>
    <row r="215" spans="6:7" ht="15.75" customHeight="1">
      <c r="F215" s="1"/>
      <c r="G215" s="1"/>
    </row>
    <row r="216" spans="6:7" ht="15.75" customHeight="1">
      <c r="F216" s="1"/>
      <c r="G216" s="1"/>
    </row>
    <row r="217" spans="6:7" ht="15.75" customHeight="1">
      <c r="F217" s="1"/>
      <c r="G217" s="1"/>
    </row>
    <row r="218" spans="6:7" ht="15.75" customHeight="1">
      <c r="F218" s="1"/>
      <c r="G218" s="1"/>
    </row>
    <row r="219" spans="6:7" ht="15.75" customHeight="1">
      <c r="F219" s="1"/>
      <c r="G219" s="1"/>
    </row>
    <row r="220" spans="6:7" ht="15.75" customHeight="1">
      <c r="F220" s="1"/>
      <c r="G220" s="1"/>
    </row>
    <row r="221" spans="6:7" ht="15.75" customHeight="1">
      <c r="F221" s="1"/>
      <c r="G221" s="1"/>
    </row>
    <row r="222" spans="6:7" ht="15.75" customHeight="1">
      <c r="F222" s="1"/>
      <c r="G222" s="1"/>
    </row>
    <row r="223" spans="6:7" ht="15.75" customHeight="1">
      <c r="F223" s="1"/>
      <c r="G223" s="1"/>
    </row>
    <row r="224" spans="6:7" ht="15.75" customHeight="1">
      <c r="F224" s="1"/>
      <c r="G224" s="1"/>
    </row>
    <row r="225" spans="6:7" ht="15.75" customHeight="1">
      <c r="F225" s="1"/>
      <c r="G225" s="1"/>
    </row>
    <row r="226" spans="6:7" ht="15.75" customHeight="1">
      <c r="F226" s="1"/>
      <c r="G226" s="1"/>
    </row>
    <row r="227" spans="6:7" ht="15.75" customHeight="1">
      <c r="F227" s="1"/>
      <c r="G227" s="1"/>
    </row>
    <row r="228" spans="6:7" ht="15.75" customHeight="1">
      <c r="F228" s="1"/>
      <c r="G228" s="1"/>
    </row>
    <row r="229" spans="6:7" ht="15.75" customHeight="1">
      <c r="F229" s="1"/>
      <c r="G229" s="1"/>
    </row>
    <row r="230" spans="6:7" ht="15.75" customHeight="1">
      <c r="F230" s="1"/>
      <c r="G230" s="1"/>
    </row>
    <row r="231" spans="6:7" ht="15.75" customHeight="1">
      <c r="F231" s="1"/>
      <c r="G231" s="1"/>
    </row>
    <row r="232" spans="6:7" ht="15.75" customHeight="1">
      <c r="F232" s="1"/>
      <c r="G232" s="1"/>
    </row>
    <row r="233" spans="6:7" ht="15.75" customHeight="1">
      <c r="F233" s="1"/>
      <c r="G233" s="1"/>
    </row>
    <row r="234" spans="6:7" ht="15.75" customHeight="1">
      <c r="F234" s="1"/>
      <c r="G234" s="1"/>
    </row>
    <row r="235" spans="6:7" ht="15.75" customHeight="1">
      <c r="F235" s="1"/>
      <c r="G235" s="1"/>
    </row>
    <row r="236" spans="6:7" ht="15.75" customHeight="1">
      <c r="F236" s="1"/>
      <c r="G236" s="1"/>
    </row>
    <row r="237" spans="6:7" ht="15.75" customHeight="1">
      <c r="F237" s="1"/>
      <c r="G237" s="1"/>
    </row>
    <row r="238" spans="6:7" ht="15.75" customHeight="1">
      <c r="F238" s="1"/>
      <c r="G238" s="1"/>
    </row>
    <row r="239" spans="6:7" ht="15.75" customHeight="1">
      <c r="F239" s="1"/>
      <c r="G239" s="1"/>
    </row>
    <row r="240" spans="6:7" ht="15.75" customHeight="1">
      <c r="F240" s="1"/>
      <c r="G240" s="1"/>
    </row>
    <row r="241" spans="6:7" ht="15.75" customHeight="1">
      <c r="F241" s="1"/>
      <c r="G241" s="1"/>
    </row>
    <row r="242" spans="6:7" ht="15.75" customHeight="1">
      <c r="F242" s="1"/>
      <c r="G242" s="1"/>
    </row>
    <row r="243" spans="6:7" ht="15.75" customHeight="1">
      <c r="F243" s="1"/>
      <c r="G243" s="1"/>
    </row>
    <row r="244" spans="6:7" ht="15.75" customHeight="1">
      <c r="F244" s="1"/>
      <c r="G244" s="1"/>
    </row>
    <row r="245" spans="6:7" ht="15.75" customHeight="1">
      <c r="F245" s="1"/>
      <c r="G245" s="1"/>
    </row>
    <row r="246" spans="6:7" ht="15.75" customHeight="1">
      <c r="F246" s="1"/>
      <c r="G246" s="1"/>
    </row>
    <row r="247" spans="6:7" ht="15.75" customHeight="1">
      <c r="F247" s="1"/>
      <c r="G247" s="1"/>
    </row>
    <row r="248" spans="6:7" ht="15.75" customHeight="1">
      <c r="F248" s="1"/>
      <c r="G248" s="1"/>
    </row>
    <row r="249" spans="6:7" ht="15.75" customHeight="1">
      <c r="F249" s="1"/>
      <c r="G249" s="1"/>
    </row>
    <row r="250" spans="6:7" ht="15.75" customHeight="1">
      <c r="F250" s="1"/>
      <c r="G250" s="1"/>
    </row>
    <row r="251" spans="6:7" ht="15.75" customHeight="1">
      <c r="F251" s="1"/>
      <c r="G251" s="1"/>
    </row>
    <row r="252" spans="6:7" ht="15.75" customHeight="1">
      <c r="F252" s="1"/>
      <c r="G252" s="1"/>
    </row>
    <row r="253" spans="6:7" ht="15.75" customHeight="1">
      <c r="F253" s="1"/>
      <c r="G253" s="1"/>
    </row>
    <row r="254" spans="6:7" ht="15.75" customHeight="1">
      <c r="F254" s="1"/>
      <c r="G254" s="1"/>
    </row>
    <row r="255" spans="6:7" ht="15.75" customHeight="1">
      <c r="F255" s="1"/>
      <c r="G255" s="1"/>
    </row>
    <row r="256" spans="6:7" ht="15.75" customHeight="1">
      <c r="F256" s="1"/>
      <c r="G256" s="1"/>
    </row>
    <row r="257" spans="6:7" ht="15.75" customHeight="1">
      <c r="F257" s="1"/>
      <c r="G257" s="1"/>
    </row>
    <row r="258" spans="6:7" ht="15.75" customHeight="1">
      <c r="F258" s="1"/>
      <c r="G258" s="1"/>
    </row>
    <row r="259" spans="6:7" ht="15.75" customHeight="1">
      <c r="F259" s="1"/>
      <c r="G259" s="1"/>
    </row>
    <row r="260" spans="6:7" ht="15.75" customHeight="1">
      <c r="F260" s="1"/>
      <c r="G260" s="1"/>
    </row>
    <row r="261" spans="6:7" ht="15.75" customHeight="1">
      <c r="F261" s="1"/>
      <c r="G261" s="1"/>
    </row>
    <row r="262" spans="6:7" ht="15.75" customHeight="1">
      <c r="F262" s="1"/>
      <c r="G262" s="1"/>
    </row>
    <row r="263" spans="6:7" ht="15.75" customHeight="1">
      <c r="F263" s="1"/>
      <c r="G263" s="1"/>
    </row>
    <row r="264" spans="6:7" ht="15.75" customHeight="1">
      <c r="F264" s="1"/>
      <c r="G264" s="1"/>
    </row>
    <row r="265" spans="6:7" ht="15.75" customHeight="1">
      <c r="F265" s="1"/>
      <c r="G265" s="1"/>
    </row>
    <row r="266" spans="6:7" ht="15.75" customHeight="1">
      <c r="F266" s="1"/>
      <c r="G266" s="1"/>
    </row>
    <row r="267" spans="6:7" ht="15.75" customHeight="1">
      <c r="F267" s="1"/>
      <c r="G267" s="1"/>
    </row>
    <row r="268" spans="6:7" ht="15.75" customHeight="1">
      <c r="F268" s="1"/>
      <c r="G268" s="1"/>
    </row>
    <row r="269" spans="6:7" ht="15.75" customHeight="1">
      <c r="F269" s="1"/>
      <c r="G269" s="1"/>
    </row>
    <row r="270" spans="6:7" ht="15.75" customHeight="1">
      <c r="F270" s="1"/>
      <c r="G270" s="1"/>
    </row>
    <row r="271" spans="6:7" ht="15.75" customHeight="1">
      <c r="F271" s="1"/>
      <c r="G271" s="1"/>
    </row>
    <row r="272" spans="6:7" ht="15.75" customHeight="1">
      <c r="F272" s="1"/>
      <c r="G272" s="1"/>
    </row>
    <row r="273" spans="6:7" ht="15.75" customHeight="1">
      <c r="F273" s="1"/>
      <c r="G273" s="1"/>
    </row>
    <row r="274" spans="6:7" ht="15.75" customHeight="1">
      <c r="F274" s="1"/>
      <c r="G274" s="1"/>
    </row>
    <row r="275" spans="6:7" ht="15.75" customHeight="1">
      <c r="F275" s="1"/>
      <c r="G275" s="1"/>
    </row>
    <row r="276" spans="6:7" ht="15.75" customHeight="1">
      <c r="F276" s="1"/>
      <c r="G276" s="1"/>
    </row>
    <row r="277" spans="6:7" ht="15.75" customHeight="1">
      <c r="F277" s="1"/>
      <c r="G277" s="1"/>
    </row>
    <row r="278" spans="6:7" ht="15.75" customHeight="1">
      <c r="F278" s="1"/>
      <c r="G278" s="1"/>
    </row>
    <row r="279" spans="6:7" ht="15.75" customHeight="1">
      <c r="F279" s="1"/>
      <c r="G279" s="1"/>
    </row>
    <row r="280" spans="6:7" ht="15.75" customHeight="1">
      <c r="F280" s="1"/>
      <c r="G280" s="1"/>
    </row>
    <row r="281" spans="6:7" ht="15.75" customHeight="1">
      <c r="F281" s="1"/>
      <c r="G281" s="1"/>
    </row>
    <row r="282" spans="6:7" ht="15.75" customHeight="1">
      <c r="F282" s="1"/>
      <c r="G282" s="1"/>
    </row>
    <row r="283" spans="6:7" ht="15.75" customHeight="1">
      <c r="F283" s="1"/>
      <c r="G283" s="1"/>
    </row>
    <row r="284" spans="6:7" ht="15.75" customHeight="1">
      <c r="F284" s="1"/>
      <c r="G284" s="1"/>
    </row>
    <row r="285" spans="6:7" ht="15.75" customHeight="1">
      <c r="F285" s="1"/>
      <c r="G285" s="1"/>
    </row>
    <row r="286" spans="6:7" ht="15.75" customHeight="1">
      <c r="F286" s="1"/>
      <c r="G286" s="1"/>
    </row>
    <row r="287" spans="6:7" ht="15.75" customHeight="1">
      <c r="F287" s="1"/>
      <c r="G287" s="1"/>
    </row>
    <row r="288" spans="6:7" ht="15.75" customHeight="1">
      <c r="F288" s="1"/>
      <c r="G288" s="1"/>
    </row>
    <row r="289" spans="6:7" ht="15.75" customHeight="1">
      <c r="F289" s="1"/>
      <c r="G289" s="1"/>
    </row>
    <row r="290" spans="6:7" ht="15.75" customHeight="1">
      <c r="F290" s="1"/>
      <c r="G290" s="1"/>
    </row>
    <row r="291" spans="6:7" ht="15.75" customHeight="1">
      <c r="F291" s="1"/>
      <c r="G291" s="1"/>
    </row>
    <row r="292" spans="6:7" ht="15.75" customHeight="1">
      <c r="F292" s="1"/>
      <c r="G292" s="1"/>
    </row>
    <row r="293" spans="6:7" ht="15.75" customHeight="1">
      <c r="F293" s="1"/>
      <c r="G293" s="1"/>
    </row>
    <row r="294" spans="6:7" ht="15.75" customHeight="1">
      <c r="F294" s="1"/>
      <c r="G294" s="1"/>
    </row>
    <row r="295" spans="6:7" ht="15.75" customHeight="1">
      <c r="F295" s="1"/>
      <c r="G295" s="1"/>
    </row>
    <row r="296" spans="6:7" ht="15.75" customHeight="1">
      <c r="F296" s="1"/>
      <c r="G296" s="1"/>
    </row>
    <row r="297" spans="6:7" ht="15.75" customHeight="1">
      <c r="F297" s="1"/>
      <c r="G297" s="1"/>
    </row>
    <row r="298" spans="6:7" ht="15.75" customHeight="1">
      <c r="F298" s="1"/>
      <c r="G298" s="1"/>
    </row>
    <row r="299" spans="6:7" ht="15.75" customHeight="1">
      <c r="F299" s="1"/>
      <c r="G299" s="1"/>
    </row>
    <row r="300" spans="6:7" ht="15.75" customHeight="1">
      <c r="F300" s="1"/>
      <c r="G300" s="1"/>
    </row>
    <row r="301" spans="6:7" ht="15.75" customHeight="1">
      <c r="F301" s="1"/>
      <c r="G301" s="1"/>
    </row>
    <row r="302" spans="6:7" ht="15.75" customHeight="1">
      <c r="F302" s="1"/>
      <c r="G302" s="1"/>
    </row>
    <row r="303" spans="6:7" ht="15.75" customHeight="1">
      <c r="F303" s="1"/>
      <c r="G303" s="1"/>
    </row>
    <row r="304" spans="6:7" ht="15.75" customHeight="1">
      <c r="F304" s="1"/>
      <c r="G304" s="1"/>
    </row>
    <row r="305" spans="6:7" ht="15.75" customHeight="1">
      <c r="F305" s="1"/>
      <c r="G305" s="1"/>
    </row>
    <row r="306" spans="6:7" ht="15.75" customHeight="1">
      <c r="F306" s="1"/>
      <c r="G306" s="1"/>
    </row>
    <row r="307" spans="6:7" ht="15.75" customHeight="1">
      <c r="F307" s="1"/>
      <c r="G307" s="1"/>
    </row>
    <row r="308" spans="6:7" ht="15.75" customHeight="1">
      <c r="F308" s="1"/>
      <c r="G308" s="1"/>
    </row>
    <row r="309" spans="6:7" ht="15.75" customHeight="1">
      <c r="F309" s="1"/>
      <c r="G309" s="1"/>
    </row>
    <row r="310" spans="6:7" ht="15.75" customHeight="1">
      <c r="F310" s="1"/>
      <c r="G310" s="1"/>
    </row>
    <row r="311" spans="6:7" ht="15.75" customHeight="1">
      <c r="F311" s="1"/>
      <c r="G311" s="1"/>
    </row>
    <row r="312" spans="6:7" ht="15.75" customHeight="1">
      <c r="F312" s="1"/>
      <c r="G312" s="1"/>
    </row>
    <row r="313" spans="6:7" ht="15.75" customHeight="1">
      <c r="F313" s="1"/>
      <c r="G313" s="1"/>
    </row>
    <row r="314" spans="6:7" ht="15.75" customHeight="1">
      <c r="F314" s="1"/>
      <c r="G314" s="1"/>
    </row>
    <row r="315" spans="6:7" ht="15.75" customHeight="1">
      <c r="F315" s="1"/>
      <c r="G315" s="1"/>
    </row>
    <row r="316" spans="6:7" ht="15.75" customHeight="1">
      <c r="F316" s="1"/>
      <c r="G316" s="1"/>
    </row>
    <row r="317" spans="6:7" ht="15.75" customHeight="1">
      <c r="F317" s="1"/>
      <c r="G317" s="1"/>
    </row>
    <row r="318" spans="6:7" ht="15.75" customHeight="1">
      <c r="F318" s="1"/>
      <c r="G318" s="1"/>
    </row>
    <row r="319" spans="6:7" ht="15.75" customHeight="1">
      <c r="F319" s="1"/>
      <c r="G319" s="1"/>
    </row>
    <row r="320" spans="6:7" ht="15.75" customHeight="1">
      <c r="F320" s="1"/>
      <c r="G320" s="1"/>
    </row>
    <row r="321" spans="6:7" ht="15.75" customHeight="1">
      <c r="F321" s="1"/>
      <c r="G321" s="1"/>
    </row>
    <row r="322" spans="6:7" ht="15.75" customHeight="1">
      <c r="F322" s="1"/>
      <c r="G322" s="1"/>
    </row>
    <row r="323" spans="6:7" ht="15.75" customHeight="1">
      <c r="F323" s="1"/>
      <c r="G323" s="1"/>
    </row>
    <row r="324" spans="6:7" ht="15.75" customHeight="1">
      <c r="F324" s="1"/>
      <c r="G324" s="1"/>
    </row>
    <row r="325" spans="6:7" ht="15.75" customHeight="1">
      <c r="F325" s="1"/>
      <c r="G325" s="1"/>
    </row>
    <row r="326" spans="6:7" ht="15.75" customHeight="1">
      <c r="F326" s="1"/>
      <c r="G326" s="1"/>
    </row>
    <row r="327" spans="6:7" ht="15.75" customHeight="1">
      <c r="F327" s="1"/>
      <c r="G327" s="1"/>
    </row>
    <row r="328" spans="6:7" ht="15.75" customHeight="1">
      <c r="F328" s="1"/>
      <c r="G328" s="1"/>
    </row>
    <row r="329" spans="6:7" ht="15.75" customHeight="1">
      <c r="F329" s="1"/>
      <c r="G329" s="1"/>
    </row>
    <row r="330" spans="6:7" ht="15.75" customHeight="1">
      <c r="F330" s="1"/>
      <c r="G330" s="1"/>
    </row>
    <row r="331" spans="6:7" ht="15.75" customHeight="1">
      <c r="F331" s="1"/>
      <c r="G331" s="1"/>
    </row>
    <row r="332" spans="6:7" ht="15.75" customHeight="1">
      <c r="F332" s="1"/>
      <c r="G332" s="1"/>
    </row>
    <row r="333" spans="6:7" ht="15.75" customHeight="1">
      <c r="F333" s="1"/>
      <c r="G333" s="1"/>
    </row>
    <row r="334" spans="6:7" ht="15.75" customHeight="1">
      <c r="F334" s="1"/>
      <c r="G334" s="1"/>
    </row>
    <row r="335" spans="6:7" ht="15.75" customHeight="1">
      <c r="F335" s="1"/>
      <c r="G335" s="1"/>
    </row>
    <row r="336" spans="6:7" ht="15.75" customHeight="1">
      <c r="F336" s="1"/>
      <c r="G336" s="1"/>
    </row>
    <row r="337" spans="6:7" ht="15.75" customHeight="1">
      <c r="F337" s="1"/>
      <c r="G337" s="1"/>
    </row>
    <row r="338" spans="6:7" ht="15.75" customHeight="1">
      <c r="F338" s="1"/>
      <c r="G338" s="1"/>
    </row>
    <row r="339" spans="6:7" ht="15.75" customHeight="1">
      <c r="F339" s="1"/>
      <c r="G339" s="1"/>
    </row>
    <row r="340" spans="6:7" ht="15.75" customHeight="1">
      <c r="F340" s="1"/>
      <c r="G340" s="1"/>
    </row>
    <row r="341" spans="6:7" ht="15.75" customHeight="1">
      <c r="F341" s="1"/>
      <c r="G341" s="1"/>
    </row>
    <row r="342" spans="6:7" ht="15.75" customHeight="1">
      <c r="F342" s="1"/>
      <c r="G342" s="1"/>
    </row>
    <row r="343" spans="6:7" ht="15.75" customHeight="1">
      <c r="F343" s="1"/>
      <c r="G343" s="1"/>
    </row>
    <row r="344" spans="6:7" ht="15.75" customHeight="1">
      <c r="F344" s="1"/>
      <c r="G344" s="1"/>
    </row>
    <row r="345" spans="6:7" ht="15.75" customHeight="1">
      <c r="F345" s="1"/>
      <c r="G345" s="1"/>
    </row>
    <row r="346" spans="6:7" ht="15.75" customHeight="1">
      <c r="F346" s="1"/>
      <c r="G346" s="1"/>
    </row>
    <row r="347" spans="6:7" ht="15.75" customHeight="1">
      <c r="F347" s="1"/>
      <c r="G347" s="1"/>
    </row>
    <row r="348" spans="6:7" ht="15.75" customHeight="1">
      <c r="F348" s="1"/>
      <c r="G348" s="1"/>
    </row>
    <row r="349" spans="6:7" ht="15.75" customHeight="1">
      <c r="F349" s="1"/>
      <c r="G349" s="1"/>
    </row>
    <row r="350" spans="6:7" ht="15.75" customHeight="1">
      <c r="F350" s="1"/>
      <c r="G350" s="1"/>
    </row>
    <row r="351" spans="6:7" ht="15.75" customHeight="1">
      <c r="F351" s="1"/>
      <c r="G351" s="1"/>
    </row>
    <row r="352" spans="6:7" ht="15.75" customHeight="1">
      <c r="F352" s="1"/>
      <c r="G352" s="1"/>
    </row>
    <row r="353" spans="6:7" ht="15.75" customHeight="1">
      <c r="F353" s="1"/>
      <c r="G353" s="1"/>
    </row>
    <row r="354" spans="6:7" ht="15.75" customHeight="1">
      <c r="F354" s="1"/>
      <c r="G354" s="1"/>
    </row>
    <row r="355" spans="6:7" ht="15.75" customHeight="1">
      <c r="F355" s="1"/>
      <c r="G355" s="1"/>
    </row>
    <row r="356" spans="6:7" ht="15.75" customHeight="1">
      <c r="F356" s="1"/>
      <c r="G356" s="1"/>
    </row>
    <row r="357" spans="6:7" ht="15.75" customHeight="1">
      <c r="F357" s="1"/>
      <c r="G357" s="1"/>
    </row>
    <row r="358" spans="6:7" ht="15.75" customHeight="1">
      <c r="F358" s="1"/>
      <c r="G358" s="1"/>
    </row>
    <row r="359" spans="6:7" ht="15.75" customHeight="1">
      <c r="F359" s="1"/>
      <c r="G359" s="1"/>
    </row>
    <row r="360" spans="6:7" ht="15.75" customHeight="1">
      <c r="F360" s="1"/>
      <c r="G360" s="1"/>
    </row>
    <row r="361" spans="6:7" ht="15.75" customHeight="1">
      <c r="F361" s="1"/>
      <c r="G361" s="1"/>
    </row>
    <row r="362" spans="6:7" ht="15.75" customHeight="1">
      <c r="F362" s="1"/>
      <c r="G362" s="1"/>
    </row>
    <row r="363" spans="6:7" ht="15.75" customHeight="1">
      <c r="F363" s="1"/>
      <c r="G363" s="1"/>
    </row>
    <row r="364" spans="6:7" ht="15.75" customHeight="1">
      <c r="F364" s="1"/>
      <c r="G364" s="1"/>
    </row>
    <row r="365" spans="6:7" ht="15.75" customHeight="1">
      <c r="F365" s="1"/>
      <c r="G365" s="1"/>
    </row>
    <row r="366" spans="6:7" ht="15.75" customHeight="1">
      <c r="F366" s="1"/>
      <c r="G366" s="1"/>
    </row>
    <row r="367" spans="6:7" ht="15.75" customHeight="1">
      <c r="F367" s="1"/>
      <c r="G367" s="1"/>
    </row>
    <row r="368" spans="6:7" ht="15.75" customHeight="1">
      <c r="F368" s="1"/>
      <c r="G368" s="1"/>
    </row>
    <row r="369" spans="6:7" ht="15.75" customHeight="1">
      <c r="F369" s="1"/>
      <c r="G369" s="1"/>
    </row>
    <row r="370" spans="6:7" ht="15.75" customHeight="1">
      <c r="F370" s="1"/>
      <c r="G370" s="1"/>
    </row>
    <row r="371" spans="6:7" ht="15.75" customHeight="1">
      <c r="F371" s="1"/>
      <c r="G371" s="1"/>
    </row>
    <row r="372" spans="6:7" ht="15.75" customHeight="1">
      <c r="F372" s="1"/>
      <c r="G372" s="1"/>
    </row>
    <row r="373" spans="6:7" ht="15.75" customHeight="1">
      <c r="F373" s="1"/>
      <c r="G373" s="1"/>
    </row>
    <row r="374" spans="6:7" ht="15.75" customHeight="1">
      <c r="F374" s="1"/>
      <c r="G374" s="1"/>
    </row>
    <row r="375" spans="6:7" ht="15.75" customHeight="1">
      <c r="F375" s="1"/>
      <c r="G375" s="1"/>
    </row>
    <row r="376" spans="6:7" ht="15.75" customHeight="1">
      <c r="F376" s="1"/>
      <c r="G376" s="1"/>
    </row>
    <row r="377" spans="6:7" ht="15.75" customHeight="1">
      <c r="F377" s="1"/>
      <c r="G377" s="1"/>
    </row>
    <row r="378" spans="6:7" ht="15.75" customHeight="1">
      <c r="F378" s="1"/>
      <c r="G378" s="1"/>
    </row>
    <row r="379" spans="6:7" ht="15.75" customHeight="1">
      <c r="F379" s="1"/>
      <c r="G379" s="1"/>
    </row>
    <row r="380" spans="6:7" ht="15.75" customHeight="1">
      <c r="F380" s="1"/>
      <c r="G380" s="1"/>
    </row>
    <row r="381" spans="6:7" ht="15.75" customHeight="1">
      <c r="F381" s="1"/>
      <c r="G381" s="1"/>
    </row>
    <row r="382" spans="6:7" ht="15.75" customHeight="1">
      <c r="F382" s="1"/>
      <c r="G382" s="1"/>
    </row>
    <row r="383" spans="6:7" ht="15.75" customHeight="1">
      <c r="F383" s="1"/>
      <c r="G383" s="1"/>
    </row>
    <row r="384" spans="6:7" ht="15.75" customHeight="1">
      <c r="F384" s="1"/>
      <c r="G384" s="1"/>
    </row>
    <row r="385" spans="6:7" ht="15.75" customHeight="1">
      <c r="F385" s="1"/>
      <c r="G385" s="1"/>
    </row>
    <row r="386" spans="6:7" ht="15.75" customHeight="1">
      <c r="F386" s="1"/>
      <c r="G386" s="1"/>
    </row>
    <row r="387" spans="6:7" ht="15.75" customHeight="1">
      <c r="F387" s="1"/>
      <c r="G387" s="1"/>
    </row>
    <row r="388" spans="6:7" ht="15.75" customHeight="1">
      <c r="F388" s="1"/>
      <c r="G388" s="1"/>
    </row>
    <row r="389" spans="6:7" ht="15.75" customHeight="1">
      <c r="F389" s="1"/>
      <c r="G389" s="1"/>
    </row>
    <row r="390" spans="6:7" ht="15.75" customHeight="1">
      <c r="F390" s="1"/>
      <c r="G390" s="1"/>
    </row>
    <row r="391" spans="6:7" ht="15.75" customHeight="1">
      <c r="F391" s="1"/>
      <c r="G391" s="1"/>
    </row>
    <row r="392" spans="6:7" ht="15.75" customHeight="1">
      <c r="F392" s="1"/>
      <c r="G392" s="1"/>
    </row>
    <row r="393" spans="6:7" ht="15.75" customHeight="1">
      <c r="F393" s="1"/>
      <c r="G393" s="1"/>
    </row>
    <row r="394" spans="6:7" ht="15.75" customHeight="1">
      <c r="F394" s="1"/>
      <c r="G394" s="1"/>
    </row>
    <row r="395" spans="6:7" ht="15.75" customHeight="1">
      <c r="F395" s="1"/>
      <c r="G395" s="1"/>
    </row>
    <row r="396" spans="6:7" ht="15.75" customHeight="1">
      <c r="F396" s="1"/>
      <c r="G396" s="1"/>
    </row>
    <row r="397" spans="6:7" ht="15.75" customHeight="1">
      <c r="F397" s="1"/>
      <c r="G397" s="1"/>
    </row>
    <row r="398" spans="6:7" ht="15.75" customHeight="1">
      <c r="F398" s="1"/>
      <c r="G398" s="1"/>
    </row>
    <row r="399" spans="6:7" ht="15.75" customHeight="1">
      <c r="F399" s="1"/>
      <c r="G399" s="1"/>
    </row>
    <row r="400" spans="6:7" ht="15.75" customHeight="1">
      <c r="F400" s="1"/>
      <c r="G400" s="1"/>
    </row>
    <row r="401" spans="6:7" ht="15.75" customHeight="1">
      <c r="F401" s="1"/>
      <c r="G401" s="1"/>
    </row>
    <row r="402" spans="6:7" ht="15.75" customHeight="1">
      <c r="F402" s="1"/>
      <c r="G402" s="1"/>
    </row>
    <row r="403" spans="6:7" ht="15.75" customHeight="1">
      <c r="F403" s="1"/>
      <c r="G403" s="1"/>
    </row>
    <row r="404" spans="6:7" ht="15.75" customHeight="1">
      <c r="F404" s="1"/>
      <c r="G404" s="1"/>
    </row>
    <row r="405" spans="6:7" ht="15.75" customHeight="1">
      <c r="F405" s="1"/>
      <c r="G405" s="1"/>
    </row>
    <row r="406" spans="6:7" ht="15.75" customHeight="1">
      <c r="F406" s="1"/>
      <c r="G406" s="1"/>
    </row>
    <row r="407" spans="6:7" ht="15.75" customHeight="1">
      <c r="F407" s="1"/>
      <c r="G407" s="1"/>
    </row>
    <row r="408" spans="6:7" ht="15.75" customHeight="1">
      <c r="F408" s="1"/>
      <c r="G408" s="1"/>
    </row>
    <row r="409" spans="6:7" ht="15.75" customHeight="1">
      <c r="F409" s="1"/>
      <c r="G409" s="1"/>
    </row>
    <row r="410" spans="6:7" ht="15.75" customHeight="1">
      <c r="F410" s="1"/>
      <c r="G410" s="1"/>
    </row>
    <row r="411" spans="6:7" ht="15.75" customHeight="1">
      <c r="F411" s="1"/>
      <c r="G411" s="1"/>
    </row>
    <row r="412" spans="6:7" ht="15.75" customHeight="1">
      <c r="F412" s="1"/>
      <c r="G412" s="1"/>
    </row>
    <row r="413" spans="6:7" ht="15.75" customHeight="1">
      <c r="F413" s="1"/>
      <c r="G413" s="1"/>
    </row>
    <row r="414" spans="6:7" ht="15.75" customHeight="1">
      <c r="F414" s="1"/>
      <c r="G414" s="1"/>
    </row>
    <row r="415" spans="6:7" ht="15.75" customHeight="1">
      <c r="F415" s="1"/>
      <c r="G415" s="1"/>
    </row>
    <row r="416" spans="6:7" ht="15.75" customHeight="1">
      <c r="F416" s="1"/>
      <c r="G416" s="1"/>
    </row>
    <row r="417" spans="6:7" ht="15.75" customHeight="1">
      <c r="F417" s="1"/>
      <c r="G417" s="1"/>
    </row>
    <row r="418" spans="6:7" ht="15.75" customHeight="1">
      <c r="F418" s="1"/>
      <c r="G418" s="1"/>
    </row>
    <row r="419" spans="6:7" ht="15.75" customHeight="1">
      <c r="F419" s="1"/>
      <c r="G419" s="1"/>
    </row>
    <row r="420" spans="6:7" ht="15.75" customHeight="1">
      <c r="F420" s="1"/>
      <c r="G420" s="1"/>
    </row>
    <row r="421" spans="6:7" ht="15.75" customHeight="1">
      <c r="F421" s="1"/>
      <c r="G421" s="1"/>
    </row>
    <row r="422" spans="6:7" ht="15.75" customHeight="1">
      <c r="F422" s="1"/>
      <c r="G422" s="1"/>
    </row>
    <row r="423" spans="6:7" ht="15.75" customHeight="1">
      <c r="F423" s="1"/>
      <c r="G423" s="1"/>
    </row>
    <row r="424" spans="6:7" ht="15.75" customHeight="1">
      <c r="F424" s="1"/>
      <c r="G424" s="1"/>
    </row>
    <row r="425" spans="6:7" ht="15.75" customHeight="1">
      <c r="F425" s="1"/>
      <c r="G425" s="1"/>
    </row>
    <row r="426" spans="6:7" ht="15.75" customHeight="1">
      <c r="F426" s="1"/>
      <c r="G426" s="1"/>
    </row>
    <row r="427" spans="6:7" ht="15.75" customHeight="1">
      <c r="F427" s="1"/>
      <c r="G427" s="1"/>
    </row>
    <row r="428" spans="6:7" ht="15.75" customHeight="1">
      <c r="F428" s="1"/>
      <c r="G428" s="1"/>
    </row>
    <row r="429" spans="6:7" ht="15.75" customHeight="1">
      <c r="F429" s="1"/>
      <c r="G429" s="1"/>
    </row>
    <row r="430" spans="6:7" ht="15.75" customHeight="1">
      <c r="F430" s="1"/>
      <c r="G430" s="1"/>
    </row>
    <row r="431" spans="6:7" ht="15.75" customHeight="1">
      <c r="F431" s="1"/>
      <c r="G431" s="1"/>
    </row>
    <row r="432" spans="6:7" ht="15.75" customHeight="1">
      <c r="F432" s="1"/>
      <c r="G432" s="1"/>
    </row>
    <row r="433" spans="6:7" ht="15.75" customHeight="1">
      <c r="F433" s="1"/>
      <c r="G433" s="1"/>
    </row>
    <row r="434" spans="6:7" ht="15.75" customHeight="1">
      <c r="F434" s="1"/>
      <c r="G434" s="1"/>
    </row>
    <row r="435" spans="6:7" ht="15.75" customHeight="1">
      <c r="F435" s="1"/>
      <c r="G435" s="1"/>
    </row>
    <row r="436" spans="6:7" ht="15.75" customHeight="1">
      <c r="F436" s="1"/>
      <c r="G436" s="1"/>
    </row>
    <row r="437" spans="6:7" ht="15.75" customHeight="1">
      <c r="F437" s="1"/>
      <c r="G437" s="1"/>
    </row>
    <row r="438" spans="6:7" ht="15.75" customHeight="1">
      <c r="F438" s="1"/>
      <c r="G438" s="1"/>
    </row>
    <row r="439" spans="6:7" ht="15.75" customHeight="1">
      <c r="F439" s="1"/>
      <c r="G439" s="1"/>
    </row>
    <row r="440" spans="6:7" ht="15.75" customHeight="1">
      <c r="F440" s="1"/>
      <c r="G440" s="1"/>
    </row>
    <row r="441" spans="6:7" ht="15.75" customHeight="1">
      <c r="F441" s="1"/>
      <c r="G441" s="1"/>
    </row>
    <row r="442" spans="6:7" ht="15.75" customHeight="1">
      <c r="F442" s="1"/>
      <c r="G442" s="1"/>
    </row>
    <row r="443" spans="6:7" ht="15.75" customHeight="1">
      <c r="F443" s="1"/>
      <c r="G443" s="1"/>
    </row>
    <row r="444" spans="6:7" ht="15.75" customHeight="1">
      <c r="F444" s="1"/>
      <c r="G444" s="1"/>
    </row>
    <row r="445" spans="6:7" ht="15.75" customHeight="1">
      <c r="F445" s="1"/>
      <c r="G445" s="1"/>
    </row>
    <row r="446" spans="6:7" ht="15.75" customHeight="1">
      <c r="F446" s="1"/>
      <c r="G446" s="1"/>
    </row>
    <row r="447" spans="6:7" ht="15.75" customHeight="1">
      <c r="F447" s="1"/>
      <c r="G447" s="1"/>
    </row>
    <row r="448" spans="6:7" ht="15.75" customHeight="1">
      <c r="F448" s="1"/>
      <c r="G448" s="1"/>
    </row>
    <row r="449" spans="6:7" ht="15.75" customHeight="1">
      <c r="F449" s="1"/>
      <c r="G449" s="1"/>
    </row>
    <row r="450" spans="6:7" ht="15.75" customHeight="1">
      <c r="F450" s="1"/>
      <c r="G450" s="1"/>
    </row>
    <row r="451" spans="6:7" ht="15.75" customHeight="1">
      <c r="F451" s="1"/>
      <c r="G451" s="1"/>
    </row>
    <row r="452" spans="6:7" ht="15.75" customHeight="1">
      <c r="F452" s="1"/>
      <c r="G452" s="1"/>
    </row>
    <row r="453" spans="6:7" ht="15.75" customHeight="1">
      <c r="F453" s="1"/>
      <c r="G453" s="1"/>
    </row>
    <row r="454" spans="6:7" ht="15.75" customHeight="1">
      <c r="F454" s="1"/>
      <c r="G454" s="1"/>
    </row>
    <row r="455" spans="6:7" ht="15.75" customHeight="1">
      <c r="F455" s="1"/>
      <c r="G455" s="1"/>
    </row>
    <row r="456" spans="6:7" ht="15.75" customHeight="1">
      <c r="F456" s="1"/>
      <c r="G456" s="1"/>
    </row>
    <row r="457" spans="6:7" ht="15.75" customHeight="1">
      <c r="F457" s="1"/>
      <c r="G457" s="1"/>
    </row>
    <row r="458" spans="6:7" ht="15.75" customHeight="1">
      <c r="F458" s="1"/>
      <c r="G458" s="1"/>
    </row>
    <row r="459" spans="6:7" ht="15.75" customHeight="1">
      <c r="F459" s="1"/>
      <c r="G459" s="1"/>
    </row>
    <row r="460" spans="6:7" ht="15.75" customHeight="1">
      <c r="F460" s="1"/>
      <c r="G460" s="1"/>
    </row>
    <row r="461" spans="6:7" ht="15.75" customHeight="1">
      <c r="F461" s="1"/>
      <c r="G461" s="1"/>
    </row>
    <row r="462" spans="6:7" ht="15.75" customHeight="1">
      <c r="F462" s="1"/>
      <c r="G462" s="1"/>
    </row>
    <row r="463" spans="6:7" ht="15.75" customHeight="1">
      <c r="F463" s="1"/>
      <c r="G463" s="1"/>
    </row>
    <row r="464" spans="6:7" ht="15.75" customHeight="1">
      <c r="F464" s="1"/>
      <c r="G464" s="1"/>
    </row>
    <row r="465" spans="6:7" ht="15.75" customHeight="1">
      <c r="F465" s="1"/>
      <c r="G465" s="1"/>
    </row>
    <row r="466" spans="6:7" ht="15.75" customHeight="1">
      <c r="F466" s="1"/>
      <c r="G466" s="1"/>
    </row>
    <row r="467" spans="6:7" ht="15.75" customHeight="1">
      <c r="F467" s="1"/>
      <c r="G467" s="1"/>
    </row>
    <row r="468" spans="6:7" ht="15.75" customHeight="1">
      <c r="F468" s="1"/>
      <c r="G468" s="1"/>
    </row>
    <row r="469" spans="6:7" ht="15.75" customHeight="1">
      <c r="F469" s="1"/>
      <c r="G469" s="1"/>
    </row>
    <row r="470" spans="6:7" ht="15.75" customHeight="1">
      <c r="F470" s="1"/>
      <c r="G470" s="1"/>
    </row>
    <row r="471" spans="6:7" ht="15.75" customHeight="1">
      <c r="F471" s="1"/>
      <c r="G471" s="1"/>
    </row>
    <row r="472" spans="6:7" ht="15.75" customHeight="1">
      <c r="F472" s="1"/>
      <c r="G472" s="1"/>
    </row>
    <row r="473" spans="6:7" ht="15.75" customHeight="1">
      <c r="F473" s="1"/>
      <c r="G473" s="1"/>
    </row>
    <row r="474" spans="6:7" ht="15.75" customHeight="1">
      <c r="F474" s="1"/>
      <c r="G474" s="1"/>
    </row>
    <row r="475" spans="6:7" ht="15.75" customHeight="1">
      <c r="F475" s="1"/>
      <c r="G475" s="1"/>
    </row>
    <row r="476" spans="6:7" ht="15.75" customHeight="1">
      <c r="F476" s="1"/>
      <c r="G476" s="1"/>
    </row>
    <row r="477" spans="6:7" ht="15.75" customHeight="1">
      <c r="F477" s="1"/>
      <c r="G477" s="1"/>
    </row>
    <row r="478" spans="6:7" ht="15.75" customHeight="1">
      <c r="F478" s="1"/>
      <c r="G478" s="1"/>
    </row>
    <row r="479" spans="6:7" ht="15.75" customHeight="1">
      <c r="F479" s="1"/>
      <c r="G479" s="1"/>
    </row>
    <row r="480" spans="6:7" ht="15.75" customHeight="1">
      <c r="F480" s="1"/>
      <c r="G480" s="1"/>
    </row>
    <row r="481" spans="6:7" ht="15.75" customHeight="1">
      <c r="F481" s="1"/>
      <c r="G481" s="1"/>
    </row>
    <row r="482" spans="6:7" ht="15.75" customHeight="1">
      <c r="F482" s="1"/>
      <c r="G482" s="1"/>
    </row>
    <row r="483" spans="6:7" ht="15.75" customHeight="1">
      <c r="F483" s="1"/>
      <c r="G483" s="1"/>
    </row>
    <row r="484" spans="6:7" ht="15.75" customHeight="1">
      <c r="F484" s="1"/>
      <c r="G484" s="1"/>
    </row>
    <row r="485" spans="6:7" ht="15.75" customHeight="1">
      <c r="F485" s="1"/>
      <c r="G485" s="1"/>
    </row>
    <row r="486" spans="6:7" ht="15.75" customHeight="1">
      <c r="F486" s="1"/>
      <c r="G486" s="1"/>
    </row>
    <row r="487" spans="6:7" ht="15.75" customHeight="1">
      <c r="F487" s="1"/>
      <c r="G487" s="1"/>
    </row>
    <row r="488" spans="6:7" ht="15.75" customHeight="1">
      <c r="F488" s="1"/>
      <c r="G488" s="1"/>
    </row>
    <row r="489" spans="6:7" ht="15.75" customHeight="1">
      <c r="F489" s="1"/>
      <c r="G489" s="1"/>
    </row>
    <row r="490" spans="6:7" ht="15.75" customHeight="1">
      <c r="F490" s="1"/>
      <c r="G490" s="1"/>
    </row>
    <row r="491" spans="6:7" ht="15.75" customHeight="1">
      <c r="F491" s="1"/>
      <c r="G491" s="1"/>
    </row>
    <row r="492" spans="6:7" ht="15.75" customHeight="1">
      <c r="F492" s="1"/>
      <c r="G492" s="1"/>
    </row>
    <row r="493" spans="6:7" ht="15.75" customHeight="1">
      <c r="F493" s="1"/>
      <c r="G493" s="1"/>
    </row>
    <row r="494" spans="6:7" ht="15.75" customHeight="1">
      <c r="F494" s="1"/>
      <c r="G494" s="1"/>
    </row>
    <row r="495" spans="6:7" ht="15.75" customHeight="1">
      <c r="F495" s="1"/>
      <c r="G495" s="1"/>
    </row>
    <row r="496" spans="6:7" ht="15.75" customHeight="1">
      <c r="F496" s="1"/>
      <c r="G496" s="1"/>
    </row>
    <row r="497" spans="6:7" ht="15.75" customHeight="1">
      <c r="F497" s="1"/>
      <c r="G497" s="1"/>
    </row>
    <row r="498" spans="6:7" ht="15.75" customHeight="1">
      <c r="F498" s="1"/>
      <c r="G498" s="1"/>
    </row>
    <row r="499" spans="6:7" ht="15.75" customHeight="1">
      <c r="F499" s="1"/>
      <c r="G499" s="1"/>
    </row>
    <row r="500" spans="6:7" ht="15.75" customHeight="1">
      <c r="F500" s="1"/>
      <c r="G500" s="1"/>
    </row>
    <row r="501" spans="6:7" ht="15.75" customHeight="1">
      <c r="F501" s="1"/>
      <c r="G501" s="1"/>
    </row>
    <row r="502" spans="6:7" ht="15.75" customHeight="1">
      <c r="F502" s="1"/>
      <c r="G502" s="1"/>
    </row>
    <row r="503" spans="6:7" ht="15.75" customHeight="1">
      <c r="F503" s="1"/>
      <c r="G503" s="1"/>
    </row>
    <row r="504" spans="6:7" ht="15.75" customHeight="1">
      <c r="F504" s="1"/>
      <c r="G504" s="1"/>
    </row>
    <row r="505" spans="6:7" ht="15.75" customHeight="1">
      <c r="F505" s="1"/>
      <c r="G505" s="1"/>
    </row>
    <row r="506" spans="6:7" ht="15.75" customHeight="1">
      <c r="F506" s="1"/>
      <c r="G506" s="1"/>
    </row>
    <row r="507" spans="6:7" ht="15.75" customHeight="1">
      <c r="F507" s="1"/>
      <c r="G507" s="1"/>
    </row>
    <row r="508" spans="6:7" ht="15.75" customHeight="1">
      <c r="F508" s="1"/>
      <c r="G508" s="1"/>
    </row>
    <row r="509" spans="6:7" ht="15.75" customHeight="1">
      <c r="F509" s="1"/>
      <c r="G509" s="1"/>
    </row>
    <row r="510" spans="6:7" ht="15.75" customHeight="1">
      <c r="F510" s="1"/>
      <c r="G510" s="1"/>
    </row>
    <row r="511" spans="6:7" ht="15.75" customHeight="1">
      <c r="F511" s="1"/>
      <c r="G511" s="1"/>
    </row>
    <row r="512" spans="6:7" ht="15.75" customHeight="1">
      <c r="F512" s="1"/>
      <c r="G512" s="1"/>
    </row>
    <row r="513" spans="6:7" ht="15.75" customHeight="1">
      <c r="F513" s="1"/>
      <c r="G513" s="1"/>
    </row>
    <row r="514" spans="6:7" ht="15.75" customHeight="1">
      <c r="F514" s="1"/>
      <c r="G514" s="1"/>
    </row>
    <row r="515" spans="6:7" ht="15.75" customHeight="1">
      <c r="F515" s="1"/>
      <c r="G515" s="1"/>
    </row>
    <row r="516" spans="6:7" ht="15.75" customHeight="1">
      <c r="F516" s="1"/>
      <c r="G516" s="1"/>
    </row>
    <row r="517" spans="6:7" ht="15.75" customHeight="1">
      <c r="F517" s="1"/>
      <c r="G517" s="1"/>
    </row>
    <row r="518" spans="6:7" ht="15.75" customHeight="1">
      <c r="F518" s="1"/>
      <c r="G518" s="1"/>
    </row>
    <row r="519" spans="6:7" ht="15.75" customHeight="1">
      <c r="F519" s="1"/>
      <c r="G519" s="1"/>
    </row>
    <row r="520" spans="6:7" ht="15.75" customHeight="1">
      <c r="F520" s="1"/>
      <c r="G520" s="1"/>
    </row>
    <row r="521" spans="6:7" ht="15.75" customHeight="1">
      <c r="F521" s="1"/>
      <c r="G521" s="1"/>
    </row>
    <row r="522" spans="6:7" ht="15.75" customHeight="1">
      <c r="F522" s="1"/>
      <c r="G522" s="1"/>
    </row>
    <row r="523" spans="6:7" ht="15.75" customHeight="1">
      <c r="F523" s="1"/>
      <c r="G523" s="1"/>
    </row>
    <row r="524" spans="6:7" ht="15.75" customHeight="1">
      <c r="F524" s="1"/>
      <c r="G524" s="1"/>
    </row>
    <row r="525" spans="6:7" ht="15.75" customHeight="1">
      <c r="F525" s="1"/>
      <c r="G525" s="1"/>
    </row>
    <row r="526" spans="6:7" ht="15.75" customHeight="1">
      <c r="F526" s="1"/>
      <c r="G526" s="1"/>
    </row>
    <row r="527" spans="6:7" ht="15.75" customHeight="1">
      <c r="F527" s="1"/>
      <c r="G527" s="1"/>
    </row>
    <row r="528" spans="6:7" ht="15.75" customHeight="1">
      <c r="F528" s="1"/>
      <c r="G528" s="1"/>
    </row>
    <row r="529" spans="6:7" ht="15.75" customHeight="1">
      <c r="F529" s="1"/>
      <c r="G529" s="1"/>
    </row>
    <row r="530" spans="6:7" ht="15.75" customHeight="1">
      <c r="F530" s="1"/>
      <c r="G530" s="1"/>
    </row>
    <row r="531" spans="6:7" ht="15.75" customHeight="1">
      <c r="F531" s="1"/>
      <c r="G531" s="1"/>
    </row>
    <row r="532" spans="6:7" ht="15.75" customHeight="1">
      <c r="F532" s="1"/>
      <c r="G532" s="1"/>
    </row>
    <row r="533" spans="6:7" ht="15.75" customHeight="1">
      <c r="F533" s="1"/>
      <c r="G533" s="1"/>
    </row>
    <row r="534" spans="6:7" ht="15.75" customHeight="1">
      <c r="F534" s="1"/>
      <c r="G534" s="1"/>
    </row>
    <row r="535" spans="6:7" ht="15.75" customHeight="1">
      <c r="F535" s="1"/>
      <c r="G535" s="1"/>
    </row>
    <row r="536" spans="6:7" ht="15.75" customHeight="1">
      <c r="F536" s="1"/>
      <c r="G536" s="1"/>
    </row>
    <row r="537" spans="6:7" ht="15.75" customHeight="1">
      <c r="F537" s="1"/>
      <c r="G537" s="1"/>
    </row>
    <row r="538" spans="6:7" ht="15.75" customHeight="1">
      <c r="F538" s="1"/>
      <c r="G538" s="1"/>
    </row>
    <row r="539" spans="6:7" ht="15.75" customHeight="1">
      <c r="F539" s="1"/>
      <c r="G539" s="1"/>
    </row>
    <row r="540" spans="6:7" ht="15.75" customHeight="1">
      <c r="F540" s="1"/>
      <c r="G540" s="1"/>
    </row>
    <row r="541" spans="6:7" ht="15.75" customHeight="1">
      <c r="F541" s="1"/>
      <c r="G541" s="1"/>
    </row>
    <row r="542" spans="6:7" ht="15.75" customHeight="1">
      <c r="F542" s="1"/>
      <c r="G542" s="1"/>
    </row>
    <row r="543" spans="6:7" ht="15.75" customHeight="1">
      <c r="F543" s="1"/>
      <c r="G543" s="1"/>
    </row>
    <row r="544" spans="6:7" ht="15.75" customHeight="1">
      <c r="F544" s="1"/>
      <c r="G544" s="1"/>
    </row>
    <row r="545" spans="6:7" ht="15.75" customHeight="1">
      <c r="F545" s="1"/>
      <c r="G545" s="1"/>
    </row>
    <row r="546" spans="6:7" ht="15.75" customHeight="1">
      <c r="F546" s="1"/>
      <c r="G546" s="1"/>
    </row>
    <row r="547" spans="6:7" ht="15.75" customHeight="1">
      <c r="F547" s="1"/>
      <c r="G547" s="1"/>
    </row>
    <row r="548" spans="6:7" ht="15.75" customHeight="1">
      <c r="F548" s="1"/>
      <c r="G548" s="1"/>
    </row>
    <row r="549" spans="6:7" ht="15.75" customHeight="1">
      <c r="F549" s="1"/>
      <c r="G549" s="1"/>
    </row>
    <row r="550" spans="6:7" ht="15.75" customHeight="1">
      <c r="F550" s="1"/>
      <c r="G550" s="1"/>
    </row>
    <row r="551" spans="6:7" ht="15.75" customHeight="1">
      <c r="F551" s="1"/>
      <c r="G551" s="1"/>
    </row>
    <row r="552" spans="6:7" ht="15.75" customHeight="1">
      <c r="F552" s="1"/>
      <c r="G552" s="1"/>
    </row>
    <row r="553" spans="6:7" ht="15.75" customHeight="1">
      <c r="F553" s="1"/>
      <c r="G553" s="1"/>
    </row>
    <row r="554" spans="6:7" ht="15.75" customHeight="1">
      <c r="F554" s="1"/>
      <c r="G554" s="1"/>
    </row>
    <row r="555" spans="6:7" ht="15.75" customHeight="1">
      <c r="F555" s="1"/>
      <c r="G555" s="1"/>
    </row>
    <row r="556" spans="6:7" ht="15.75" customHeight="1">
      <c r="F556" s="1"/>
      <c r="G556" s="1"/>
    </row>
    <row r="557" spans="6:7" ht="15.75" customHeight="1">
      <c r="F557" s="1"/>
      <c r="G557" s="1"/>
    </row>
    <row r="558" spans="6:7" ht="15.75" customHeight="1">
      <c r="F558" s="1"/>
      <c r="G558" s="1"/>
    </row>
    <row r="559" spans="6:7" ht="15.75" customHeight="1">
      <c r="F559" s="1"/>
      <c r="G559" s="1"/>
    </row>
    <row r="560" spans="6:7" ht="15.75" customHeight="1">
      <c r="F560" s="1"/>
      <c r="G560" s="1"/>
    </row>
    <row r="561" spans="6:7" ht="15.75" customHeight="1">
      <c r="F561" s="1"/>
      <c r="G561" s="1"/>
    </row>
    <row r="562" spans="6:7" ht="15.75" customHeight="1">
      <c r="F562" s="1"/>
      <c r="G562" s="1"/>
    </row>
    <row r="563" spans="6:7" ht="15.75" customHeight="1">
      <c r="F563" s="1"/>
      <c r="G563" s="1"/>
    </row>
    <row r="564" spans="6:7" ht="15.75" customHeight="1">
      <c r="F564" s="1"/>
      <c r="G564" s="1"/>
    </row>
    <row r="565" spans="6:7" ht="15.75" customHeight="1">
      <c r="F565" s="1"/>
      <c r="G565" s="1"/>
    </row>
    <row r="566" spans="6:7" ht="15.75" customHeight="1">
      <c r="F566" s="1"/>
      <c r="G566" s="1"/>
    </row>
    <row r="567" spans="6:7" ht="15.75" customHeight="1">
      <c r="F567" s="1"/>
      <c r="G567" s="1"/>
    </row>
    <row r="568" spans="6:7" ht="15.75" customHeight="1">
      <c r="F568" s="1"/>
      <c r="G568" s="1"/>
    </row>
    <row r="569" spans="6:7" ht="15.75" customHeight="1">
      <c r="F569" s="1"/>
      <c r="G569" s="1"/>
    </row>
    <row r="570" spans="6:7" ht="15.75" customHeight="1">
      <c r="F570" s="1"/>
      <c r="G570" s="1"/>
    </row>
    <row r="571" spans="6:7" ht="15.75" customHeight="1">
      <c r="F571" s="1"/>
      <c r="G571" s="1"/>
    </row>
    <row r="572" spans="6:7" ht="15.75" customHeight="1">
      <c r="F572" s="1"/>
      <c r="G572" s="1"/>
    </row>
    <row r="573" spans="6:7" ht="15.75" customHeight="1">
      <c r="F573" s="1"/>
      <c r="G573" s="1"/>
    </row>
    <row r="574" spans="6:7" ht="15.75" customHeight="1">
      <c r="F574" s="1"/>
      <c r="G574" s="1"/>
    </row>
    <row r="575" spans="6:7" ht="15.75" customHeight="1">
      <c r="F575" s="1"/>
      <c r="G575" s="1"/>
    </row>
    <row r="576" spans="6:7" ht="15.75" customHeight="1">
      <c r="F576" s="1"/>
      <c r="G576" s="1"/>
    </row>
    <row r="577" spans="6:7" ht="15.75" customHeight="1">
      <c r="F577" s="1"/>
      <c r="G577" s="1"/>
    </row>
    <row r="578" spans="6:7" ht="15.75" customHeight="1">
      <c r="F578" s="1"/>
      <c r="G578" s="1"/>
    </row>
    <row r="579" spans="6:7" ht="15.75" customHeight="1">
      <c r="F579" s="1"/>
      <c r="G579" s="1"/>
    </row>
    <row r="580" spans="6:7" ht="15.75" customHeight="1">
      <c r="F580" s="1"/>
      <c r="G580" s="1"/>
    </row>
    <row r="581" spans="6:7" ht="15.75" customHeight="1">
      <c r="F581" s="1"/>
      <c r="G581" s="1"/>
    </row>
    <row r="582" spans="6:7" ht="15.75" customHeight="1">
      <c r="F582" s="1"/>
      <c r="G582" s="1"/>
    </row>
    <row r="583" spans="6:7" ht="15.75" customHeight="1">
      <c r="F583" s="1"/>
      <c r="G583" s="1"/>
    </row>
    <row r="584" spans="6:7" ht="15.75" customHeight="1">
      <c r="F584" s="1"/>
      <c r="G584" s="1"/>
    </row>
    <row r="585" spans="6:7" ht="15.75" customHeight="1">
      <c r="F585" s="1"/>
      <c r="G585" s="1"/>
    </row>
    <row r="586" spans="6:7" ht="15.75" customHeight="1">
      <c r="F586" s="1"/>
      <c r="G586" s="1"/>
    </row>
    <row r="587" spans="6:7" ht="15.75" customHeight="1">
      <c r="F587" s="1"/>
      <c r="G587" s="1"/>
    </row>
    <row r="588" spans="6:7" ht="15.75" customHeight="1">
      <c r="F588" s="1"/>
      <c r="G588" s="1"/>
    </row>
    <row r="589" spans="6:7" ht="15.75" customHeight="1">
      <c r="F589" s="1"/>
      <c r="G589" s="1"/>
    </row>
    <row r="590" spans="6:7" ht="15.75" customHeight="1">
      <c r="F590" s="1"/>
      <c r="G590" s="1"/>
    </row>
    <row r="591" spans="6:7" ht="15.75" customHeight="1">
      <c r="F591" s="1"/>
      <c r="G591" s="1"/>
    </row>
    <row r="592" spans="6:7" ht="15.75" customHeight="1">
      <c r="F592" s="1"/>
      <c r="G592" s="1"/>
    </row>
    <row r="593" spans="6:7" ht="15.75" customHeight="1">
      <c r="F593" s="1"/>
      <c r="G593" s="1"/>
    </row>
    <row r="594" spans="6:7" ht="15.75" customHeight="1">
      <c r="F594" s="1"/>
      <c r="G594" s="1"/>
    </row>
    <row r="595" spans="6:7" ht="15.75" customHeight="1">
      <c r="F595" s="1"/>
      <c r="G595" s="1"/>
    </row>
    <row r="596" spans="6:7" ht="15.75" customHeight="1">
      <c r="F596" s="1"/>
      <c r="G596" s="1"/>
    </row>
    <row r="597" spans="6:7" ht="15.75" customHeight="1">
      <c r="F597" s="1"/>
      <c r="G597" s="1"/>
    </row>
    <row r="598" spans="6:7" ht="15.75" customHeight="1">
      <c r="F598" s="1"/>
      <c r="G598" s="1"/>
    </row>
    <row r="599" spans="6:7" ht="15.75" customHeight="1">
      <c r="F599" s="1"/>
      <c r="G599" s="1"/>
    </row>
    <row r="600" spans="6:7" ht="15.75" customHeight="1">
      <c r="F600" s="1"/>
      <c r="G600" s="1"/>
    </row>
    <row r="601" spans="6:7" ht="15.75" customHeight="1">
      <c r="F601" s="1"/>
      <c r="G601" s="1"/>
    </row>
    <row r="602" spans="6:7" ht="15.75" customHeight="1">
      <c r="F602" s="1"/>
      <c r="G602" s="1"/>
    </row>
    <row r="603" spans="6:7" ht="15.75" customHeight="1">
      <c r="F603" s="1"/>
      <c r="G603" s="1"/>
    </row>
    <row r="604" spans="6:7" ht="15.75" customHeight="1">
      <c r="F604" s="1"/>
      <c r="G604" s="1"/>
    </row>
    <row r="605" spans="6:7" ht="15.75" customHeight="1">
      <c r="F605" s="1"/>
      <c r="G605" s="1"/>
    </row>
    <row r="606" spans="6:7" ht="15.75" customHeight="1">
      <c r="F606" s="1"/>
      <c r="G606" s="1"/>
    </row>
    <row r="607" spans="6:7" ht="15.75" customHeight="1">
      <c r="F607" s="1"/>
      <c r="G607" s="1"/>
    </row>
    <row r="608" spans="6:7" ht="15.75" customHeight="1">
      <c r="F608" s="1"/>
      <c r="G608" s="1"/>
    </row>
    <row r="609" spans="6:7" ht="15.75" customHeight="1">
      <c r="F609" s="1"/>
      <c r="G609" s="1"/>
    </row>
    <row r="610" spans="6:7" ht="15.75" customHeight="1">
      <c r="F610" s="1"/>
      <c r="G610" s="1"/>
    </row>
    <row r="611" spans="6:7" ht="15.75" customHeight="1">
      <c r="F611" s="1"/>
      <c r="G611" s="1"/>
    </row>
    <row r="612" spans="6:7" ht="15.75" customHeight="1">
      <c r="F612" s="1"/>
      <c r="G612" s="1"/>
    </row>
    <row r="613" spans="6:7" ht="15.75" customHeight="1">
      <c r="F613" s="1"/>
      <c r="G613" s="1"/>
    </row>
    <row r="614" spans="6:7" ht="15.75" customHeight="1">
      <c r="F614" s="1"/>
      <c r="G614" s="1"/>
    </row>
    <row r="615" spans="6:7" ht="15.75" customHeight="1">
      <c r="F615" s="1"/>
      <c r="G615" s="1"/>
    </row>
    <row r="616" spans="6:7" ht="15.75" customHeight="1">
      <c r="F616" s="1"/>
      <c r="G616" s="1"/>
    </row>
    <row r="617" spans="6:7" ht="15.75" customHeight="1">
      <c r="F617" s="1"/>
      <c r="G617" s="1"/>
    </row>
    <row r="618" spans="6:7" ht="15.75" customHeight="1">
      <c r="F618" s="1"/>
      <c r="G618" s="1"/>
    </row>
    <row r="619" spans="6:7" ht="15.75" customHeight="1">
      <c r="F619" s="1"/>
      <c r="G619" s="1"/>
    </row>
    <row r="620" spans="6:7" ht="15.75" customHeight="1">
      <c r="F620" s="1"/>
      <c r="G620" s="1"/>
    </row>
    <row r="621" spans="6:7" ht="15.75" customHeight="1">
      <c r="F621" s="1"/>
      <c r="G621" s="1"/>
    </row>
    <row r="622" spans="6:7" ht="15.75" customHeight="1">
      <c r="F622" s="1"/>
      <c r="G622" s="1"/>
    </row>
    <row r="623" spans="6:7" ht="15.75" customHeight="1">
      <c r="F623" s="1"/>
      <c r="G623" s="1"/>
    </row>
    <row r="624" spans="6:7" ht="15.75" customHeight="1">
      <c r="F624" s="1"/>
      <c r="G624" s="1"/>
    </row>
    <row r="625" spans="6:7" ht="15.75" customHeight="1">
      <c r="F625" s="1"/>
      <c r="G625" s="1"/>
    </row>
    <row r="626" spans="6:7" ht="15.75" customHeight="1">
      <c r="F626" s="1"/>
      <c r="G626" s="1"/>
    </row>
    <row r="627" spans="6:7" ht="15.75" customHeight="1">
      <c r="F627" s="1"/>
      <c r="G627" s="1"/>
    </row>
    <row r="628" spans="6:7" ht="15.75" customHeight="1">
      <c r="F628" s="1"/>
      <c r="G628" s="1"/>
    </row>
    <row r="629" spans="6:7" ht="15.75" customHeight="1">
      <c r="F629" s="1"/>
      <c r="G629" s="1"/>
    </row>
    <row r="630" spans="6:7" ht="15.75" customHeight="1">
      <c r="F630" s="1"/>
      <c r="G630" s="1"/>
    </row>
    <row r="631" spans="6:7" ht="15.75" customHeight="1">
      <c r="F631" s="1"/>
      <c r="G631" s="1"/>
    </row>
    <row r="632" spans="6:7" ht="15.75" customHeight="1">
      <c r="F632" s="1"/>
      <c r="G632" s="1"/>
    </row>
    <row r="633" spans="6:7" ht="15.75" customHeight="1">
      <c r="F633" s="1"/>
      <c r="G633" s="1"/>
    </row>
    <row r="634" spans="6:7" ht="15.75" customHeight="1">
      <c r="F634" s="1"/>
      <c r="G634" s="1"/>
    </row>
    <row r="635" spans="6:7" ht="15.75" customHeight="1">
      <c r="F635" s="1"/>
      <c r="G635" s="1"/>
    </row>
    <row r="636" spans="6:7" ht="15.75" customHeight="1">
      <c r="F636" s="1"/>
      <c r="G636" s="1"/>
    </row>
    <row r="637" spans="6:7" ht="15.75" customHeight="1">
      <c r="F637" s="1"/>
      <c r="G637" s="1"/>
    </row>
    <row r="638" spans="6:7" ht="15.75" customHeight="1">
      <c r="F638" s="1"/>
      <c r="G638" s="1"/>
    </row>
    <row r="639" spans="6:7" ht="15.75" customHeight="1">
      <c r="F639" s="1"/>
      <c r="G639" s="1"/>
    </row>
    <row r="640" spans="6:7" ht="15.75" customHeight="1">
      <c r="F640" s="1"/>
      <c r="G640" s="1"/>
    </row>
    <row r="641" spans="6:7" ht="15.75" customHeight="1">
      <c r="F641" s="1"/>
      <c r="G641" s="1"/>
    </row>
    <row r="642" spans="6:7" ht="15.75" customHeight="1">
      <c r="F642" s="1"/>
      <c r="G642" s="1"/>
    </row>
    <row r="643" spans="6:7" ht="15.75" customHeight="1">
      <c r="F643" s="1"/>
      <c r="G643" s="1"/>
    </row>
    <row r="644" spans="6:7" ht="15.75" customHeight="1">
      <c r="F644" s="1"/>
      <c r="G644" s="1"/>
    </row>
    <row r="645" spans="6:7" ht="15.75" customHeight="1">
      <c r="F645" s="1"/>
      <c r="G645" s="1"/>
    </row>
    <row r="646" spans="6:7" ht="15.75" customHeight="1">
      <c r="F646" s="1"/>
      <c r="G646" s="1"/>
    </row>
    <row r="647" spans="6:7" ht="15.75" customHeight="1">
      <c r="F647" s="1"/>
      <c r="G647" s="1"/>
    </row>
    <row r="648" spans="6:7" ht="15.75" customHeight="1">
      <c r="F648" s="1"/>
      <c r="G648" s="1"/>
    </row>
    <row r="649" spans="6:7" ht="15.75" customHeight="1">
      <c r="F649" s="1"/>
      <c r="G649" s="1"/>
    </row>
    <row r="650" spans="6:7" ht="15.75" customHeight="1">
      <c r="F650" s="1"/>
      <c r="G650" s="1"/>
    </row>
    <row r="651" spans="6:7" ht="15.75" customHeight="1">
      <c r="F651" s="1"/>
      <c r="G651" s="1"/>
    </row>
    <row r="652" spans="6:7" ht="15.75" customHeight="1">
      <c r="F652" s="1"/>
      <c r="G652" s="1"/>
    </row>
    <row r="653" spans="6:7" ht="15.75" customHeight="1">
      <c r="F653" s="1"/>
      <c r="G653" s="1"/>
    </row>
    <row r="654" spans="6:7" ht="15.75" customHeight="1">
      <c r="F654" s="1"/>
      <c r="G654" s="1"/>
    </row>
    <row r="655" spans="6:7" ht="15.75" customHeight="1">
      <c r="F655" s="1"/>
      <c r="G655" s="1"/>
    </row>
    <row r="656" spans="6:7" ht="15.75" customHeight="1">
      <c r="F656" s="1"/>
      <c r="G656" s="1"/>
    </row>
    <row r="657" spans="6:7" ht="15.75" customHeight="1">
      <c r="F657" s="1"/>
      <c r="G657" s="1"/>
    </row>
    <row r="658" spans="6:7" ht="15.75" customHeight="1">
      <c r="F658" s="1"/>
      <c r="G658" s="1"/>
    </row>
    <row r="659" spans="6:7" ht="15.75" customHeight="1">
      <c r="F659" s="1"/>
      <c r="G659" s="1"/>
    </row>
    <row r="660" spans="6:7" ht="15.75" customHeight="1">
      <c r="F660" s="1"/>
      <c r="G660" s="1"/>
    </row>
    <row r="661" spans="6:7" ht="15.75" customHeight="1">
      <c r="F661" s="1"/>
      <c r="G661" s="1"/>
    </row>
    <row r="662" spans="6:7" ht="15.75" customHeight="1">
      <c r="F662" s="1"/>
      <c r="G662" s="1"/>
    </row>
    <row r="663" spans="6:7" ht="15.75" customHeight="1">
      <c r="F663" s="1"/>
      <c r="G663" s="1"/>
    </row>
    <row r="664" spans="6:7" ht="15.75" customHeight="1">
      <c r="F664" s="1"/>
      <c r="G664" s="1"/>
    </row>
    <row r="665" spans="6:7" ht="15.75" customHeight="1">
      <c r="F665" s="1"/>
      <c r="G665" s="1"/>
    </row>
    <row r="666" spans="6:7" ht="15.75" customHeight="1">
      <c r="F666" s="1"/>
      <c r="G666" s="1"/>
    </row>
    <row r="667" spans="6:7" ht="15.75" customHeight="1">
      <c r="F667" s="1"/>
      <c r="G667" s="1"/>
    </row>
    <row r="668" spans="6:7" ht="15.75" customHeight="1">
      <c r="F668" s="1"/>
      <c r="G668" s="1"/>
    </row>
    <row r="669" spans="6:7" ht="15.75" customHeight="1">
      <c r="F669" s="1"/>
      <c r="G669" s="1"/>
    </row>
    <row r="670" spans="6:7" ht="15.75" customHeight="1">
      <c r="F670" s="1"/>
      <c r="G670" s="1"/>
    </row>
    <row r="671" spans="6:7" ht="15.75" customHeight="1">
      <c r="F671" s="1"/>
      <c r="G671" s="1"/>
    </row>
    <row r="672" spans="6:7" ht="15.75" customHeight="1">
      <c r="F672" s="1"/>
      <c r="G672" s="1"/>
    </row>
    <row r="673" spans="6:7" ht="15.75" customHeight="1">
      <c r="F673" s="1"/>
      <c r="G673" s="1"/>
    </row>
    <row r="674" spans="6:7" ht="15.75" customHeight="1">
      <c r="F674" s="1"/>
      <c r="G674" s="1"/>
    </row>
    <row r="675" spans="6:7" ht="15.75" customHeight="1">
      <c r="F675" s="1"/>
      <c r="G675" s="1"/>
    </row>
    <row r="676" spans="6:7" ht="15.75" customHeight="1">
      <c r="F676" s="1"/>
      <c r="G676" s="1"/>
    </row>
    <row r="677" spans="6:7" ht="15.75" customHeight="1">
      <c r="F677" s="1"/>
      <c r="G677" s="1"/>
    </row>
    <row r="678" spans="6:7" ht="15.75" customHeight="1">
      <c r="F678" s="1"/>
      <c r="G678" s="1"/>
    </row>
    <row r="679" spans="6:7" ht="15.75" customHeight="1">
      <c r="F679" s="1"/>
      <c r="G679" s="1"/>
    </row>
    <row r="680" spans="6:7" ht="15.75" customHeight="1">
      <c r="F680" s="1"/>
      <c r="G680" s="1"/>
    </row>
    <row r="681" spans="6:7" ht="15.75" customHeight="1">
      <c r="F681" s="1"/>
      <c r="G681" s="1"/>
    </row>
    <row r="682" spans="6:7" ht="15.75" customHeight="1">
      <c r="F682" s="1"/>
      <c r="G682" s="1"/>
    </row>
    <row r="683" spans="6:7" ht="15.75" customHeight="1">
      <c r="F683" s="1"/>
      <c r="G683" s="1"/>
    </row>
    <row r="684" spans="6:7" ht="15.75" customHeight="1">
      <c r="F684" s="1"/>
      <c r="G684" s="1"/>
    </row>
    <row r="685" spans="6:7" ht="15.75" customHeight="1">
      <c r="F685" s="1"/>
      <c r="G685" s="1"/>
    </row>
    <row r="686" spans="6:7" ht="15.75" customHeight="1">
      <c r="F686" s="1"/>
      <c r="G686" s="1"/>
    </row>
    <row r="687" spans="6:7" ht="15.75" customHeight="1">
      <c r="F687" s="1"/>
      <c r="G687" s="1"/>
    </row>
    <row r="688" spans="6:7" ht="15.75" customHeight="1">
      <c r="F688" s="1"/>
      <c r="G688" s="1"/>
    </row>
    <row r="689" spans="6:7" ht="15.75" customHeight="1">
      <c r="F689" s="1"/>
      <c r="G689" s="1"/>
    </row>
    <row r="690" spans="6:7" ht="15.75" customHeight="1">
      <c r="F690" s="1"/>
      <c r="G690" s="1"/>
    </row>
    <row r="691" spans="6:7" ht="15.75" customHeight="1">
      <c r="F691" s="1"/>
      <c r="G691" s="1"/>
    </row>
    <row r="692" spans="6:7" ht="15.75" customHeight="1">
      <c r="F692" s="1"/>
      <c r="G692" s="1"/>
    </row>
    <row r="693" spans="6:7" ht="15.75" customHeight="1">
      <c r="F693" s="1"/>
      <c r="G693" s="1"/>
    </row>
    <row r="694" spans="6:7" ht="15.75" customHeight="1">
      <c r="F694" s="1"/>
      <c r="G694" s="1"/>
    </row>
    <row r="695" spans="6:7" ht="15.75" customHeight="1">
      <c r="F695" s="1"/>
      <c r="G695" s="1"/>
    </row>
    <row r="696" spans="6:7" ht="15.75" customHeight="1">
      <c r="F696" s="1"/>
      <c r="G696" s="1"/>
    </row>
    <row r="697" spans="6:7" ht="15.75" customHeight="1">
      <c r="F697" s="1"/>
      <c r="G697" s="1"/>
    </row>
    <row r="698" spans="6:7" ht="15.75" customHeight="1">
      <c r="F698" s="1"/>
      <c r="G698" s="1"/>
    </row>
    <row r="699" spans="6:7" ht="15.75" customHeight="1">
      <c r="F699" s="1"/>
      <c r="G699" s="1"/>
    </row>
    <row r="700" spans="6:7" ht="15.75" customHeight="1">
      <c r="F700" s="1"/>
      <c r="G700" s="1"/>
    </row>
    <row r="701" spans="6:7" ht="15.75" customHeight="1">
      <c r="F701" s="1"/>
      <c r="G701" s="1"/>
    </row>
    <row r="702" spans="6:7" ht="15.75" customHeight="1">
      <c r="F702" s="1"/>
      <c r="G702" s="1"/>
    </row>
    <row r="703" spans="6:7" ht="15.75" customHeight="1">
      <c r="F703" s="1"/>
      <c r="G703" s="1"/>
    </row>
    <row r="704" spans="6:7" ht="15.75" customHeight="1">
      <c r="F704" s="1"/>
      <c r="G704" s="1"/>
    </row>
    <row r="705" spans="6:7" ht="15.75" customHeight="1">
      <c r="F705" s="1"/>
      <c r="G705" s="1"/>
    </row>
    <row r="706" spans="6:7" ht="15.75" customHeight="1">
      <c r="F706" s="1"/>
      <c r="G706" s="1"/>
    </row>
    <row r="707" spans="6:7" ht="15.75" customHeight="1">
      <c r="F707" s="1"/>
      <c r="G707" s="1"/>
    </row>
    <row r="708" spans="6:7" ht="15.75" customHeight="1">
      <c r="F708" s="1"/>
      <c r="G708" s="1"/>
    </row>
    <row r="709" spans="6:7" ht="15.75" customHeight="1">
      <c r="F709" s="1"/>
      <c r="G709" s="1"/>
    </row>
    <row r="710" spans="6:7" ht="15.75" customHeight="1">
      <c r="F710" s="1"/>
      <c r="G710" s="1"/>
    </row>
    <row r="711" spans="6:7" ht="15.75" customHeight="1">
      <c r="F711" s="1"/>
      <c r="G711" s="1"/>
    </row>
    <row r="712" spans="6:7" ht="15.75" customHeight="1">
      <c r="F712" s="1"/>
      <c r="G712" s="1"/>
    </row>
    <row r="713" spans="6:7" ht="15.75" customHeight="1">
      <c r="F713" s="1"/>
      <c r="G713" s="1"/>
    </row>
    <row r="714" spans="6:7" ht="15.75" customHeight="1">
      <c r="F714" s="1"/>
      <c r="G714" s="1"/>
    </row>
    <row r="715" spans="6:7" ht="15.75" customHeight="1">
      <c r="F715" s="1"/>
      <c r="G715" s="1"/>
    </row>
    <row r="716" spans="6:7" ht="15.75" customHeight="1">
      <c r="F716" s="1"/>
      <c r="G716" s="1"/>
    </row>
    <row r="717" spans="6:7" ht="15.75" customHeight="1">
      <c r="F717" s="1"/>
      <c r="G717" s="1"/>
    </row>
    <row r="718" spans="6:7" ht="15.75" customHeight="1">
      <c r="F718" s="1"/>
      <c r="G718" s="1"/>
    </row>
    <row r="719" spans="6:7" ht="15.75" customHeight="1">
      <c r="F719" s="1"/>
      <c r="G719" s="1"/>
    </row>
    <row r="720" spans="6:7" ht="15.75" customHeight="1">
      <c r="F720" s="1"/>
      <c r="G720" s="1"/>
    </row>
    <row r="721" spans="6:7" ht="15.75" customHeight="1">
      <c r="F721" s="1"/>
      <c r="G721" s="1"/>
    </row>
    <row r="722" spans="6:7" ht="15.75" customHeight="1">
      <c r="F722" s="1"/>
      <c r="G722" s="1"/>
    </row>
    <row r="723" spans="6:7" ht="15.75" customHeight="1">
      <c r="F723" s="1"/>
      <c r="G723" s="1"/>
    </row>
    <row r="724" spans="6:7" ht="15.75" customHeight="1">
      <c r="F724" s="1"/>
      <c r="G724" s="1"/>
    </row>
    <row r="725" spans="6:7" ht="15.75" customHeight="1">
      <c r="F725" s="1"/>
      <c r="G725" s="1"/>
    </row>
    <row r="726" spans="6:7" ht="15.75" customHeight="1">
      <c r="F726" s="1"/>
      <c r="G726" s="1"/>
    </row>
    <row r="727" spans="6:7" ht="15.75" customHeight="1">
      <c r="F727" s="1"/>
      <c r="G727" s="1"/>
    </row>
    <row r="728" spans="6:7" ht="15.75" customHeight="1">
      <c r="F728" s="1"/>
      <c r="G728" s="1"/>
    </row>
    <row r="729" spans="6:7" ht="15.75" customHeight="1">
      <c r="F729" s="1"/>
      <c r="G729" s="1"/>
    </row>
    <row r="730" spans="6:7" ht="15.75" customHeight="1">
      <c r="F730" s="1"/>
      <c r="G730" s="1"/>
    </row>
    <row r="731" spans="6:7" ht="15.75" customHeight="1">
      <c r="F731" s="1"/>
      <c r="G731" s="1"/>
    </row>
    <row r="732" spans="6:7" ht="15.75" customHeight="1">
      <c r="F732" s="1"/>
      <c r="G732" s="1"/>
    </row>
    <row r="733" spans="6:7" ht="15.75" customHeight="1">
      <c r="F733" s="1"/>
      <c r="G733" s="1"/>
    </row>
    <row r="734" spans="6:7" ht="15.75" customHeight="1">
      <c r="F734" s="1"/>
      <c r="G734" s="1"/>
    </row>
    <row r="735" spans="6:7" ht="15.75" customHeight="1">
      <c r="F735" s="1"/>
      <c r="G735" s="1"/>
    </row>
    <row r="736" spans="6:7" ht="15.75" customHeight="1">
      <c r="F736" s="1"/>
      <c r="G736" s="1"/>
    </row>
    <row r="737" spans="6:7" ht="15.75" customHeight="1">
      <c r="F737" s="1"/>
      <c r="G737" s="1"/>
    </row>
    <row r="738" spans="6:7" ht="15.75" customHeight="1">
      <c r="F738" s="1"/>
      <c r="G738" s="1"/>
    </row>
    <row r="739" spans="6:7" ht="15.75" customHeight="1">
      <c r="F739" s="1"/>
      <c r="G739" s="1"/>
    </row>
    <row r="740" spans="6:7" ht="15.75" customHeight="1">
      <c r="F740" s="1"/>
      <c r="G740" s="1"/>
    </row>
    <row r="741" spans="6:7" ht="15.75" customHeight="1">
      <c r="F741" s="1"/>
      <c r="G741" s="1"/>
    </row>
    <row r="742" spans="6:7" ht="15.75" customHeight="1">
      <c r="F742" s="1"/>
      <c r="G742" s="1"/>
    </row>
    <row r="743" spans="6:7" ht="15.75" customHeight="1">
      <c r="F743" s="1"/>
      <c r="G743" s="1"/>
    </row>
    <row r="744" spans="6:7" ht="15.75" customHeight="1">
      <c r="F744" s="1"/>
      <c r="G744" s="1"/>
    </row>
    <row r="745" spans="6:7" ht="15.75" customHeight="1">
      <c r="F745" s="1"/>
      <c r="G745" s="1"/>
    </row>
    <row r="746" spans="6:7" ht="15.75" customHeight="1">
      <c r="F746" s="1"/>
      <c r="G746" s="1"/>
    </row>
    <row r="747" spans="6:7" ht="15.75" customHeight="1">
      <c r="F747" s="1"/>
      <c r="G747" s="1"/>
    </row>
    <row r="748" spans="6:7" ht="15.75" customHeight="1">
      <c r="F748" s="1"/>
      <c r="G748" s="1"/>
    </row>
    <row r="749" spans="6:7" ht="15.75" customHeight="1">
      <c r="F749" s="1"/>
      <c r="G749" s="1"/>
    </row>
    <row r="750" spans="6:7" ht="15.75" customHeight="1">
      <c r="F750" s="1"/>
      <c r="G750" s="1"/>
    </row>
    <row r="751" spans="6:7" ht="15.75" customHeight="1">
      <c r="F751" s="1"/>
      <c r="G751" s="1"/>
    </row>
    <row r="752" spans="6:7" ht="15.75" customHeight="1">
      <c r="F752" s="1"/>
      <c r="G752" s="1"/>
    </row>
    <row r="753" spans="6:7" ht="15.75" customHeight="1">
      <c r="F753" s="1"/>
      <c r="G753" s="1"/>
    </row>
    <row r="754" spans="6:7" ht="15.75" customHeight="1">
      <c r="F754" s="1"/>
      <c r="G754" s="1"/>
    </row>
    <row r="755" spans="6:7" ht="15.75" customHeight="1">
      <c r="F755" s="1"/>
      <c r="G755" s="1"/>
    </row>
    <row r="756" spans="6:7" ht="15.75" customHeight="1">
      <c r="F756" s="1"/>
      <c r="G756" s="1"/>
    </row>
    <row r="757" spans="6:7" ht="15.75" customHeight="1">
      <c r="F757" s="1"/>
      <c r="G757" s="1"/>
    </row>
    <row r="758" spans="6:7" ht="15.75" customHeight="1">
      <c r="F758" s="1"/>
      <c r="G758" s="1"/>
    </row>
    <row r="759" spans="6:7" ht="15.75" customHeight="1">
      <c r="F759" s="1"/>
      <c r="G759" s="1"/>
    </row>
    <row r="760" spans="6:7" ht="15.75" customHeight="1">
      <c r="F760" s="1"/>
      <c r="G760" s="1"/>
    </row>
    <row r="761" spans="6:7" ht="15.75" customHeight="1">
      <c r="F761" s="1"/>
      <c r="G761" s="1"/>
    </row>
    <row r="762" spans="6:7" ht="15.75" customHeight="1">
      <c r="F762" s="1"/>
      <c r="G762" s="1"/>
    </row>
    <row r="763" spans="6:7" ht="15.75" customHeight="1">
      <c r="F763" s="1"/>
      <c r="G763" s="1"/>
    </row>
    <row r="764" spans="6:7" ht="15.75" customHeight="1">
      <c r="F764" s="1"/>
      <c r="G764" s="1"/>
    </row>
    <row r="765" spans="6:7" ht="15.75" customHeight="1">
      <c r="F765" s="1"/>
      <c r="G765" s="1"/>
    </row>
    <row r="766" spans="6:7" ht="15.75" customHeight="1">
      <c r="F766" s="1"/>
      <c r="G766" s="1"/>
    </row>
    <row r="767" spans="6:7" ht="15.75" customHeight="1">
      <c r="F767" s="1"/>
      <c r="G767" s="1"/>
    </row>
    <row r="768" spans="6:7" ht="15.75" customHeight="1">
      <c r="F768" s="1"/>
      <c r="G768" s="1"/>
    </row>
    <row r="769" spans="6:7" ht="15.75" customHeight="1">
      <c r="F769" s="1"/>
      <c r="G769" s="1"/>
    </row>
    <row r="770" spans="6:7" ht="15.75" customHeight="1">
      <c r="F770" s="1"/>
      <c r="G770" s="1"/>
    </row>
    <row r="771" spans="6:7" ht="15.75" customHeight="1">
      <c r="F771" s="1"/>
      <c r="G771" s="1"/>
    </row>
    <row r="772" spans="6:7" ht="15.75" customHeight="1">
      <c r="F772" s="1"/>
      <c r="G772" s="1"/>
    </row>
    <row r="773" spans="6:7" ht="15.75" customHeight="1">
      <c r="F773" s="1"/>
      <c r="G773" s="1"/>
    </row>
    <row r="774" spans="6:7" ht="15.75" customHeight="1">
      <c r="F774" s="1"/>
      <c r="G774" s="1"/>
    </row>
    <row r="775" spans="6:7" ht="15.75" customHeight="1">
      <c r="F775" s="1"/>
      <c r="G775" s="1"/>
    </row>
    <row r="776" spans="6:7" ht="15.75" customHeight="1">
      <c r="F776" s="1"/>
      <c r="G776" s="1"/>
    </row>
    <row r="777" spans="6:7" ht="15.75" customHeight="1">
      <c r="F777" s="1"/>
      <c r="G777" s="1"/>
    </row>
    <row r="778" spans="6:7" ht="15.75" customHeight="1">
      <c r="F778" s="1"/>
      <c r="G778" s="1"/>
    </row>
    <row r="779" spans="6:7" ht="15.75" customHeight="1">
      <c r="F779" s="1"/>
      <c r="G779" s="1"/>
    </row>
    <row r="780" spans="6:7" ht="15.75" customHeight="1">
      <c r="F780" s="1"/>
      <c r="G780" s="1"/>
    </row>
    <row r="781" spans="6:7" ht="15.75" customHeight="1">
      <c r="F781" s="1"/>
      <c r="G781" s="1"/>
    </row>
    <row r="782" spans="6:7" ht="15.75" customHeight="1">
      <c r="F782" s="1"/>
      <c r="G782" s="1"/>
    </row>
    <row r="783" spans="6:7" ht="15.75" customHeight="1">
      <c r="F783" s="1"/>
      <c r="G783" s="1"/>
    </row>
    <row r="784" spans="6:7" ht="15.75" customHeight="1">
      <c r="F784" s="1"/>
      <c r="G784" s="1"/>
    </row>
    <row r="785" spans="6:7" ht="15.75" customHeight="1">
      <c r="F785" s="1"/>
      <c r="G785" s="1"/>
    </row>
    <row r="786" spans="6:7" ht="15.75" customHeight="1">
      <c r="F786" s="1"/>
      <c r="G786" s="1"/>
    </row>
    <row r="787" spans="6:7" ht="15.75" customHeight="1">
      <c r="F787" s="1"/>
      <c r="G787" s="1"/>
    </row>
    <row r="788" spans="6:7" ht="15.75" customHeight="1">
      <c r="F788" s="1"/>
      <c r="G788" s="1"/>
    </row>
    <row r="789" spans="6:7" ht="15.75" customHeight="1">
      <c r="F789" s="1"/>
      <c r="G789" s="1"/>
    </row>
    <row r="790" spans="6:7" ht="15.75" customHeight="1">
      <c r="F790" s="1"/>
      <c r="G790" s="1"/>
    </row>
    <row r="791" spans="6:7" ht="15.75" customHeight="1">
      <c r="F791" s="1"/>
      <c r="G791" s="1"/>
    </row>
    <row r="792" spans="6:7" ht="15.75" customHeight="1">
      <c r="F792" s="1"/>
      <c r="G792" s="1"/>
    </row>
    <row r="793" spans="6:7" ht="15.75" customHeight="1">
      <c r="F793" s="1"/>
      <c r="G793" s="1"/>
    </row>
    <row r="794" spans="6:7" ht="15.75" customHeight="1">
      <c r="F794" s="1"/>
      <c r="G794" s="1"/>
    </row>
    <row r="795" spans="6:7" ht="15.75" customHeight="1">
      <c r="F795" s="1"/>
      <c r="G795" s="1"/>
    </row>
    <row r="796" spans="6:7" ht="15.75" customHeight="1">
      <c r="F796" s="1"/>
      <c r="G796" s="1"/>
    </row>
    <row r="797" spans="6:7" ht="15.75" customHeight="1">
      <c r="F797" s="1"/>
      <c r="G797" s="1"/>
    </row>
    <row r="798" spans="6:7" ht="15.75" customHeight="1">
      <c r="F798" s="1"/>
      <c r="G798" s="1"/>
    </row>
    <row r="799" spans="6:7" ht="15.75" customHeight="1">
      <c r="F799" s="1"/>
      <c r="G799" s="1"/>
    </row>
    <row r="800" spans="6:7" ht="15.75" customHeight="1">
      <c r="F800" s="1"/>
      <c r="G800" s="1"/>
    </row>
    <row r="801" spans="6:7" ht="15.75" customHeight="1">
      <c r="F801" s="1"/>
      <c r="G801" s="1"/>
    </row>
    <row r="802" spans="6:7" ht="15.75" customHeight="1">
      <c r="F802" s="1"/>
      <c r="G802" s="1"/>
    </row>
    <row r="803" spans="6:7" ht="15.75" customHeight="1">
      <c r="F803" s="1"/>
      <c r="G803" s="1"/>
    </row>
    <row r="804" spans="6:7" ht="15.75" customHeight="1">
      <c r="F804" s="1"/>
      <c r="G804" s="1"/>
    </row>
    <row r="805" spans="6:7" ht="15.75" customHeight="1">
      <c r="F805" s="1"/>
      <c r="G805" s="1"/>
    </row>
    <row r="806" spans="6:7" ht="15.75" customHeight="1">
      <c r="F806" s="1"/>
      <c r="G806" s="1"/>
    </row>
    <row r="807" spans="6:7" ht="15.75" customHeight="1">
      <c r="F807" s="1"/>
      <c r="G807" s="1"/>
    </row>
    <row r="808" spans="6:7" ht="15.75" customHeight="1">
      <c r="F808" s="1"/>
      <c r="G808" s="1"/>
    </row>
    <row r="809" spans="6:7" ht="15.75" customHeight="1">
      <c r="F809" s="1"/>
      <c r="G809" s="1"/>
    </row>
    <row r="810" spans="6:7" ht="15.75" customHeight="1">
      <c r="F810" s="1"/>
      <c r="G810" s="1"/>
    </row>
    <row r="811" spans="6:7" ht="15.75" customHeight="1">
      <c r="F811" s="1"/>
      <c r="G811" s="1"/>
    </row>
    <row r="812" spans="6:7" ht="15.75" customHeight="1">
      <c r="F812" s="1"/>
      <c r="G812" s="1"/>
    </row>
    <row r="813" spans="6:7" ht="15.75" customHeight="1">
      <c r="F813" s="1"/>
      <c r="G813" s="1"/>
    </row>
    <row r="814" spans="6:7" ht="15.75" customHeight="1">
      <c r="F814" s="1"/>
      <c r="G814" s="1"/>
    </row>
    <row r="815" spans="6:7" ht="15.75" customHeight="1">
      <c r="F815" s="1"/>
      <c r="G815" s="1"/>
    </row>
    <row r="816" spans="6:7" ht="15.75" customHeight="1">
      <c r="F816" s="1"/>
      <c r="G816" s="1"/>
    </row>
    <row r="817" spans="6:7" ht="15.75" customHeight="1">
      <c r="F817" s="1"/>
      <c r="G817" s="1"/>
    </row>
    <row r="818" spans="6:7" ht="15.75" customHeight="1">
      <c r="F818" s="1"/>
      <c r="G818" s="1"/>
    </row>
    <row r="819" spans="6:7" ht="15.75" customHeight="1">
      <c r="F819" s="1"/>
      <c r="G819" s="1"/>
    </row>
    <row r="820" spans="6:7" ht="15.75" customHeight="1">
      <c r="F820" s="1"/>
      <c r="G820" s="1"/>
    </row>
    <row r="821" spans="6:7" ht="15.75" customHeight="1">
      <c r="F821" s="1"/>
      <c r="G821" s="1"/>
    </row>
    <row r="822" spans="6:7" ht="15.75" customHeight="1">
      <c r="F822" s="1"/>
      <c r="G822" s="1"/>
    </row>
    <row r="823" spans="6:7" ht="15.75" customHeight="1">
      <c r="F823" s="1"/>
      <c r="G823" s="1"/>
    </row>
    <row r="824" spans="6:7" ht="15.75" customHeight="1">
      <c r="F824" s="1"/>
      <c r="G824" s="1"/>
    </row>
    <row r="825" spans="6:7" ht="15.75" customHeight="1">
      <c r="F825" s="1"/>
      <c r="G825" s="1"/>
    </row>
    <row r="826" spans="6:7" ht="15.75" customHeight="1">
      <c r="F826" s="1"/>
      <c r="G826" s="1"/>
    </row>
    <row r="827" spans="6:7" ht="15.75" customHeight="1">
      <c r="F827" s="1"/>
      <c r="G827" s="1"/>
    </row>
    <row r="828" spans="6:7" ht="15.75" customHeight="1">
      <c r="F828" s="1"/>
      <c r="G828" s="1"/>
    </row>
    <row r="829" spans="6:7" ht="15.75" customHeight="1">
      <c r="F829" s="1"/>
      <c r="G829" s="1"/>
    </row>
    <row r="830" spans="6:7" ht="15.75" customHeight="1">
      <c r="F830" s="1"/>
      <c r="G830" s="1"/>
    </row>
    <row r="831" spans="6:7" ht="15.75" customHeight="1">
      <c r="F831" s="1"/>
      <c r="G831" s="1"/>
    </row>
    <row r="832" spans="6:7" ht="15.75" customHeight="1">
      <c r="F832" s="1"/>
      <c r="G832" s="1"/>
    </row>
    <row r="833" spans="6:7" ht="15.75" customHeight="1">
      <c r="F833" s="1"/>
      <c r="G833" s="1"/>
    </row>
    <row r="834" spans="6:7" ht="15.75" customHeight="1">
      <c r="F834" s="1"/>
      <c r="G834" s="1"/>
    </row>
    <row r="835" spans="6:7" ht="15.75" customHeight="1">
      <c r="F835" s="1"/>
      <c r="G835" s="1"/>
    </row>
    <row r="836" spans="6:7" ht="15.75" customHeight="1">
      <c r="F836" s="1"/>
      <c r="G836" s="1"/>
    </row>
    <row r="837" spans="6:7" ht="15.75" customHeight="1">
      <c r="F837" s="1"/>
      <c r="G837" s="1"/>
    </row>
    <row r="838" spans="6:7" ht="15.75" customHeight="1">
      <c r="F838" s="1"/>
      <c r="G838" s="1"/>
    </row>
    <row r="839" spans="6:7" ht="15.75" customHeight="1">
      <c r="F839" s="1"/>
      <c r="G839" s="1"/>
    </row>
    <row r="840" spans="6:7" ht="15.75" customHeight="1">
      <c r="F840" s="1"/>
      <c r="G840" s="1"/>
    </row>
    <row r="841" spans="6:7" ht="15.75" customHeight="1">
      <c r="F841" s="1"/>
      <c r="G841" s="1"/>
    </row>
    <row r="842" spans="6:7" ht="15.75" customHeight="1">
      <c r="F842" s="1"/>
      <c r="G842" s="1"/>
    </row>
    <row r="843" spans="6:7" ht="15.75" customHeight="1">
      <c r="F843" s="1"/>
      <c r="G843" s="1"/>
    </row>
    <row r="844" spans="6:7" ht="15.75" customHeight="1">
      <c r="F844" s="1"/>
      <c r="G844" s="1"/>
    </row>
    <row r="845" spans="6:7" ht="15.75" customHeight="1">
      <c r="F845" s="1"/>
      <c r="G845" s="1"/>
    </row>
    <row r="846" spans="6:7" ht="15.75" customHeight="1">
      <c r="F846" s="1"/>
      <c r="G846" s="1"/>
    </row>
    <row r="847" spans="6:7" ht="15.75" customHeight="1">
      <c r="F847" s="1"/>
      <c r="G847" s="1"/>
    </row>
    <row r="848" spans="6:7" ht="15.75" customHeight="1">
      <c r="F848" s="1"/>
      <c r="G848" s="1"/>
    </row>
    <row r="849" spans="6:7" ht="15.75" customHeight="1">
      <c r="F849" s="1"/>
      <c r="G849" s="1"/>
    </row>
    <row r="850" spans="6:7" ht="15.75" customHeight="1">
      <c r="F850" s="1"/>
      <c r="G850" s="1"/>
    </row>
    <row r="851" spans="6:7" ht="15.75" customHeight="1">
      <c r="F851" s="1"/>
      <c r="G851" s="1"/>
    </row>
    <row r="852" spans="6:7" ht="15.75" customHeight="1">
      <c r="F852" s="1"/>
      <c r="G852" s="1"/>
    </row>
    <row r="853" spans="6:7" ht="15.75" customHeight="1">
      <c r="F853" s="1"/>
      <c r="G853" s="1"/>
    </row>
    <row r="854" spans="6:7" ht="15.75" customHeight="1">
      <c r="F854" s="1"/>
      <c r="G854" s="1"/>
    </row>
    <row r="855" spans="6:7" ht="15.75" customHeight="1">
      <c r="F855" s="1"/>
      <c r="G855" s="1"/>
    </row>
    <row r="856" spans="6:7" ht="15.75" customHeight="1">
      <c r="F856" s="1"/>
      <c r="G856" s="1"/>
    </row>
    <row r="857" spans="6:7" ht="15.75" customHeight="1">
      <c r="F857" s="1"/>
      <c r="G857" s="1"/>
    </row>
    <row r="858" spans="6:7" ht="15.75" customHeight="1">
      <c r="F858" s="1"/>
      <c r="G858" s="1"/>
    </row>
    <row r="859" spans="6:7" ht="15.75" customHeight="1">
      <c r="F859" s="1"/>
      <c r="G859" s="1"/>
    </row>
    <row r="860" spans="6:7" ht="15.75" customHeight="1">
      <c r="F860" s="1"/>
      <c r="G860" s="1"/>
    </row>
    <row r="861" spans="6:7" ht="15.75" customHeight="1">
      <c r="F861" s="1"/>
      <c r="G861" s="1"/>
    </row>
    <row r="862" spans="6:7" ht="15.75" customHeight="1">
      <c r="F862" s="1"/>
      <c r="G862" s="1"/>
    </row>
    <row r="863" spans="6:7" ht="15.75" customHeight="1">
      <c r="F863" s="1"/>
      <c r="G863" s="1"/>
    </row>
    <row r="864" spans="6:7" ht="15.75" customHeight="1">
      <c r="F864" s="1"/>
      <c r="G864" s="1"/>
    </row>
    <row r="865" spans="6:7" ht="15.75" customHeight="1">
      <c r="F865" s="1"/>
      <c r="G865" s="1"/>
    </row>
    <row r="866" spans="6:7" ht="15.75" customHeight="1">
      <c r="F866" s="1"/>
      <c r="G866" s="1"/>
    </row>
    <row r="867" spans="6:7" ht="15.75" customHeight="1">
      <c r="F867" s="1"/>
      <c r="G867" s="1"/>
    </row>
    <row r="868" spans="6:7" ht="15.75" customHeight="1">
      <c r="F868" s="1"/>
      <c r="G868" s="1"/>
    </row>
    <row r="869" spans="6:7" ht="15.75" customHeight="1">
      <c r="F869" s="1"/>
      <c r="G869" s="1"/>
    </row>
    <row r="870" spans="6:7" ht="15.75" customHeight="1">
      <c r="F870" s="1"/>
      <c r="G870" s="1"/>
    </row>
    <row r="871" spans="6:7" ht="15.75" customHeight="1">
      <c r="F871" s="1"/>
      <c r="G871" s="1"/>
    </row>
    <row r="872" spans="6:7" ht="15.75" customHeight="1">
      <c r="F872" s="1"/>
      <c r="G872" s="1"/>
    </row>
    <row r="873" spans="6:7" ht="15.75" customHeight="1">
      <c r="F873" s="1"/>
      <c r="G873" s="1"/>
    </row>
    <row r="874" spans="6:7" ht="15.75" customHeight="1">
      <c r="F874" s="1"/>
      <c r="G874" s="1"/>
    </row>
    <row r="875" spans="6:7" ht="15.75" customHeight="1">
      <c r="F875" s="1"/>
      <c r="G875" s="1"/>
    </row>
    <row r="876" spans="6:7" ht="15.75" customHeight="1">
      <c r="F876" s="1"/>
      <c r="G876" s="1"/>
    </row>
    <row r="877" spans="6:7" ht="15.75" customHeight="1">
      <c r="F877" s="1"/>
      <c r="G877" s="1"/>
    </row>
    <row r="878" spans="6:7" ht="15.75" customHeight="1">
      <c r="F878" s="1"/>
      <c r="G878" s="1"/>
    </row>
    <row r="879" spans="6:7" ht="15.75" customHeight="1">
      <c r="F879" s="1"/>
      <c r="G879" s="1"/>
    </row>
    <row r="880" spans="6:7" ht="15.75" customHeight="1">
      <c r="F880" s="1"/>
      <c r="G880" s="1"/>
    </row>
    <row r="881" spans="6:7" ht="15.75" customHeight="1">
      <c r="F881" s="1"/>
      <c r="G881" s="1"/>
    </row>
    <row r="882" spans="6:7" ht="15.75" customHeight="1">
      <c r="F882" s="1"/>
      <c r="G882" s="1"/>
    </row>
    <row r="883" spans="6:7" ht="15.75" customHeight="1">
      <c r="F883" s="1"/>
      <c r="G883" s="1"/>
    </row>
    <row r="884" spans="6:7" ht="15.75" customHeight="1">
      <c r="F884" s="1"/>
      <c r="G884" s="1"/>
    </row>
    <row r="885" spans="6:7" ht="15.75" customHeight="1">
      <c r="F885" s="1"/>
      <c r="G885" s="1"/>
    </row>
    <row r="886" spans="6:7" ht="15.75" customHeight="1">
      <c r="F886" s="1"/>
      <c r="G886" s="1"/>
    </row>
    <row r="887" spans="6:7" ht="15.75" customHeight="1">
      <c r="F887" s="1"/>
      <c r="G887" s="1"/>
    </row>
    <row r="888" spans="6:7" ht="15.75" customHeight="1">
      <c r="F888" s="1"/>
      <c r="G888" s="1"/>
    </row>
    <row r="889" spans="6:7" ht="15.75" customHeight="1">
      <c r="F889" s="1"/>
      <c r="G889" s="1"/>
    </row>
    <row r="890" spans="6:7" ht="15.75" customHeight="1">
      <c r="F890" s="1"/>
      <c r="G890" s="1"/>
    </row>
    <row r="891" spans="6:7" ht="15.75" customHeight="1">
      <c r="F891" s="1"/>
      <c r="G891" s="1"/>
    </row>
    <row r="892" spans="6:7" ht="15.75" customHeight="1">
      <c r="F892" s="1"/>
      <c r="G892" s="1"/>
    </row>
    <row r="893" spans="6:7" ht="15.75" customHeight="1">
      <c r="F893" s="1"/>
      <c r="G893" s="1"/>
    </row>
    <row r="894" spans="6:7" ht="15.75" customHeight="1">
      <c r="F894" s="1"/>
      <c r="G894" s="1"/>
    </row>
    <row r="895" spans="6:7" ht="15.75" customHeight="1">
      <c r="F895" s="1"/>
      <c r="G895" s="1"/>
    </row>
    <row r="896" spans="6:7" ht="15.75" customHeight="1">
      <c r="F896" s="1"/>
      <c r="G896" s="1"/>
    </row>
    <row r="897" spans="6:7" ht="15.75" customHeight="1">
      <c r="F897" s="1"/>
      <c r="G897" s="1"/>
    </row>
    <row r="898" spans="6:7" ht="15.75" customHeight="1">
      <c r="F898" s="1"/>
      <c r="G898" s="1"/>
    </row>
    <row r="899" spans="6:7" ht="15.75" customHeight="1">
      <c r="F899" s="1"/>
      <c r="G899" s="1"/>
    </row>
    <row r="900" spans="6:7" ht="15.75" customHeight="1">
      <c r="F900" s="1"/>
      <c r="G900" s="1"/>
    </row>
    <row r="901" spans="6:7" ht="15.75" customHeight="1">
      <c r="F901" s="1"/>
      <c r="G901" s="1"/>
    </row>
    <row r="902" spans="6:7" ht="15.75" customHeight="1">
      <c r="F902" s="1"/>
      <c r="G902" s="1"/>
    </row>
    <row r="903" spans="6:7" ht="15.75" customHeight="1">
      <c r="F903" s="1"/>
      <c r="G903" s="1"/>
    </row>
    <row r="904" spans="6:7" ht="15.75" customHeight="1">
      <c r="F904" s="1"/>
      <c r="G904" s="1"/>
    </row>
    <row r="905" spans="6:7" ht="15.75" customHeight="1">
      <c r="F905" s="1"/>
      <c r="G905" s="1"/>
    </row>
    <row r="906" spans="6:7" ht="15.75" customHeight="1">
      <c r="F906" s="1"/>
      <c r="G906" s="1"/>
    </row>
    <row r="907" spans="6:7" ht="15.75" customHeight="1">
      <c r="F907" s="1"/>
      <c r="G907" s="1"/>
    </row>
    <row r="908" spans="6:7" ht="15.75" customHeight="1">
      <c r="F908" s="1"/>
      <c r="G908" s="1"/>
    </row>
    <row r="909" spans="6:7" ht="15.75" customHeight="1">
      <c r="F909" s="1"/>
      <c r="G909" s="1"/>
    </row>
    <row r="910" spans="6:7" ht="15.75" customHeight="1">
      <c r="F910" s="1"/>
      <c r="G910" s="1"/>
    </row>
    <row r="911" spans="6:7" ht="15.75" customHeight="1">
      <c r="F911" s="1"/>
      <c r="G911" s="1"/>
    </row>
    <row r="912" spans="6:7" ht="15.75" customHeight="1">
      <c r="F912" s="1"/>
      <c r="G912" s="1"/>
    </row>
    <row r="913" spans="6:7" ht="15.75" customHeight="1">
      <c r="F913" s="1"/>
      <c r="G913" s="1"/>
    </row>
    <row r="914" spans="6:7" ht="15.75" customHeight="1">
      <c r="F914" s="1"/>
      <c r="G914" s="1"/>
    </row>
    <row r="915" spans="6:7" ht="15.75" customHeight="1">
      <c r="F915" s="1"/>
      <c r="G915" s="1"/>
    </row>
    <row r="916" spans="6:7" ht="15.75" customHeight="1">
      <c r="F916" s="1"/>
      <c r="G916" s="1"/>
    </row>
    <row r="917" spans="6:7" ht="15.75" customHeight="1">
      <c r="F917" s="1"/>
      <c r="G917" s="1"/>
    </row>
    <row r="918" spans="6:7" ht="15.75" customHeight="1">
      <c r="F918" s="1"/>
      <c r="G918" s="1"/>
    </row>
    <row r="919" spans="6:7" ht="15.75" customHeight="1">
      <c r="F919" s="1"/>
      <c r="G919" s="1"/>
    </row>
    <row r="920" spans="6:7" ht="15.75" customHeight="1">
      <c r="F920" s="1"/>
      <c r="G920" s="1"/>
    </row>
    <row r="921" spans="6:7" ht="15.75" customHeight="1">
      <c r="F921" s="1"/>
      <c r="G921" s="1"/>
    </row>
    <row r="922" spans="6:7" ht="15.75" customHeight="1">
      <c r="F922" s="1"/>
      <c r="G922" s="1"/>
    </row>
    <row r="923" spans="6:7" ht="15.75" customHeight="1">
      <c r="F923" s="1"/>
      <c r="G923" s="1"/>
    </row>
    <row r="924" spans="6:7" ht="15.75" customHeight="1">
      <c r="F924" s="1"/>
      <c r="G924" s="1"/>
    </row>
    <row r="925" spans="6:7" ht="15.75" customHeight="1">
      <c r="F925" s="1"/>
      <c r="G925" s="1"/>
    </row>
    <row r="926" spans="6:7" ht="15.75" customHeight="1">
      <c r="F926" s="1"/>
      <c r="G926" s="1"/>
    </row>
    <row r="927" spans="6:7" ht="15.75" customHeight="1">
      <c r="F927" s="1"/>
      <c r="G927" s="1"/>
    </row>
    <row r="928" spans="6:7" ht="15.75" customHeight="1">
      <c r="F928" s="1"/>
      <c r="G928" s="1"/>
    </row>
    <row r="929" spans="6:7" ht="15.75" customHeight="1">
      <c r="F929" s="1"/>
      <c r="G929" s="1"/>
    </row>
    <row r="930" spans="6:7" ht="15.75" customHeight="1">
      <c r="F930" s="1"/>
      <c r="G930" s="1"/>
    </row>
    <row r="931" spans="6:7" ht="15.75" customHeight="1">
      <c r="F931" s="1"/>
      <c r="G931" s="1"/>
    </row>
    <row r="932" spans="6:7" ht="15.75" customHeight="1">
      <c r="F932" s="1"/>
      <c r="G932" s="1"/>
    </row>
    <row r="933" spans="6:7" ht="15.75" customHeight="1">
      <c r="F933" s="1"/>
      <c r="G933" s="1"/>
    </row>
    <row r="934" spans="6:7" ht="15.75" customHeight="1">
      <c r="F934" s="1"/>
      <c r="G934" s="1"/>
    </row>
    <row r="935" spans="6:7" ht="15.75" customHeight="1">
      <c r="F935" s="1"/>
      <c r="G935" s="1"/>
    </row>
    <row r="936" spans="6:7" ht="15.75" customHeight="1">
      <c r="F936" s="1"/>
      <c r="G936" s="1"/>
    </row>
    <row r="937" spans="6:7" ht="15.75" customHeight="1">
      <c r="F937" s="1"/>
      <c r="G937" s="1"/>
    </row>
    <row r="938" spans="6:7" ht="15.75" customHeight="1">
      <c r="F938" s="1"/>
      <c r="G938" s="1"/>
    </row>
    <row r="939" spans="6:7" ht="15.75" customHeight="1">
      <c r="F939" s="1"/>
      <c r="G939" s="1"/>
    </row>
    <row r="940" spans="6:7" ht="15.75" customHeight="1">
      <c r="F940" s="1"/>
      <c r="G940" s="1"/>
    </row>
    <row r="941" spans="6:7" ht="15.75" customHeight="1">
      <c r="F941" s="1"/>
      <c r="G941" s="1"/>
    </row>
    <row r="942" spans="6:7" ht="15.75" customHeight="1">
      <c r="F942" s="1"/>
      <c r="G942" s="1"/>
    </row>
    <row r="943" spans="6:7" ht="15.75" customHeight="1">
      <c r="F943" s="1"/>
      <c r="G943" s="1"/>
    </row>
    <row r="944" spans="6:7" ht="15.75" customHeight="1">
      <c r="F944" s="1"/>
      <c r="G944" s="1"/>
    </row>
    <row r="945" spans="6:7" ht="15.75" customHeight="1">
      <c r="F945" s="1"/>
      <c r="G945" s="1"/>
    </row>
    <row r="946" spans="6:7" ht="15.75" customHeight="1">
      <c r="F946" s="1"/>
      <c r="G946" s="1"/>
    </row>
    <row r="947" spans="6:7" ht="15.75" customHeight="1">
      <c r="F947" s="1"/>
      <c r="G947" s="1"/>
    </row>
    <row r="948" spans="6:7" ht="15.75" customHeight="1">
      <c r="F948" s="1"/>
      <c r="G948" s="1"/>
    </row>
    <row r="949" spans="6:7" ht="15.75" customHeight="1">
      <c r="F949" s="1"/>
      <c r="G949" s="1"/>
    </row>
    <row r="950" spans="6:7" ht="15.75" customHeight="1">
      <c r="F950" s="1"/>
      <c r="G950" s="1"/>
    </row>
    <row r="951" spans="6:7" ht="15.75" customHeight="1">
      <c r="F951" s="1"/>
      <c r="G951" s="1"/>
    </row>
    <row r="952" spans="6:7" ht="15.75" customHeight="1">
      <c r="F952" s="1"/>
      <c r="G952" s="1"/>
    </row>
    <row r="953" spans="6:7" ht="15.75" customHeight="1">
      <c r="F953" s="1"/>
      <c r="G953" s="1"/>
    </row>
    <row r="954" spans="6:7" ht="15.75" customHeight="1">
      <c r="F954" s="1"/>
      <c r="G954" s="1"/>
    </row>
    <row r="955" spans="6:7" ht="15.75" customHeight="1">
      <c r="F955" s="1"/>
      <c r="G955" s="1"/>
    </row>
    <row r="956" spans="6:7" ht="15.75" customHeight="1">
      <c r="F956" s="1"/>
      <c r="G956" s="1"/>
    </row>
    <row r="957" spans="6:7" ht="15.75" customHeight="1">
      <c r="F957" s="1"/>
      <c r="G957" s="1"/>
    </row>
    <row r="958" spans="6:7" ht="15.75" customHeight="1">
      <c r="F958" s="1"/>
      <c r="G958" s="1"/>
    </row>
    <row r="959" spans="6:7" ht="15.75" customHeight="1">
      <c r="F959" s="1"/>
      <c r="G959" s="1"/>
    </row>
    <row r="960" spans="6:7" ht="15.75" customHeight="1">
      <c r="F960" s="1"/>
      <c r="G960" s="1"/>
    </row>
    <row r="961" spans="6:7" ht="15.75" customHeight="1">
      <c r="F961" s="1"/>
      <c r="G961" s="1"/>
    </row>
    <row r="962" spans="6:7" ht="15.75" customHeight="1">
      <c r="F962" s="1"/>
      <c r="G962" s="1"/>
    </row>
    <row r="963" spans="6:7" ht="15.75" customHeight="1">
      <c r="F963" s="1"/>
      <c r="G963" s="1"/>
    </row>
    <row r="964" spans="6:7" ht="15.75" customHeight="1">
      <c r="F964" s="1"/>
      <c r="G964" s="1"/>
    </row>
    <row r="965" spans="6:7" ht="15.75" customHeight="1">
      <c r="F965" s="1"/>
      <c r="G965" s="1"/>
    </row>
    <row r="966" spans="6:7" ht="15.75" customHeight="1">
      <c r="F966" s="1"/>
      <c r="G966" s="1"/>
    </row>
    <row r="967" spans="6:7" ht="15.75" customHeight="1">
      <c r="F967" s="1"/>
      <c r="G967" s="1"/>
    </row>
    <row r="968" spans="6:7" ht="15.75" customHeight="1">
      <c r="F968" s="1"/>
      <c r="G968" s="1"/>
    </row>
    <row r="969" spans="6:7" ht="15.75" customHeight="1">
      <c r="F969" s="1"/>
      <c r="G969" s="1"/>
    </row>
    <row r="970" spans="6:7" ht="15.75" customHeight="1">
      <c r="F970" s="1"/>
      <c r="G970" s="1"/>
    </row>
    <row r="971" spans="6:7" ht="15.75" customHeight="1">
      <c r="F971" s="1"/>
      <c r="G971" s="1"/>
    </row>
    <row r="972" spans="6:7" ht="15.75" customHeight="1">
      <c r="F972" s="1"/>
      <c r="G972" s="1"/>
    </row>
    <row r="973" spans="6:7" ht="15.75" customHeight="1">
      <c r="F973" s="1"/>
      <c r="G973" s="1"/>
    </row>
    <row r="974" spans="6:7" ht="15.75" customHeight="1">
      <c r="F974" s="1"/>
      <c r="G974" s="1"/>
    </row>
    <row r="975" spans="6:7" ht="15.75" customHeight="1">
      <c r="F975" s="1"/>
      <c r="G975" s="1"/>
    </row>
    <row r="976" spans="6:7" ht="15.75" customHeight="1">
      <c r="F976" s="1"/>
      <c r="G976" s="1"/>
    </row>
    <row r="977" spans="6:7" ht="15.75" customHeight="1">
      <c r="F977" s="1"/>
      <c r="G977" s="1"/>
    </row>
    <row r="978" spans="6:7" ht="15.75" customHeight="1">
      <c r="F978" s="1"/>
      <c r="G978" s="1"/>
    </row>
    <row r="979" spans="6:7" ht="15.75" customHeight="1">
      <c r="F979" s="1"/>
      <c r="G979" s="1"/>
    </row>
    <row r="980" spans="6:7" ht="15.75" customHeight="1">
      <c r="F980" s="1"/>
      <c r="G980" s="1"/>
    </row>
    <row r="981" spans="6:7" ht="15.75" customHeight="1">
      <c r="F981" s="1"/>
      <c r="G981" s="1"/>
    </row>
    <row r="982" spans="6:7" ht="15.75" customHeight="1">
      <c r="F982" s="1"/>
      <c r="G982" s="1"/>
    </row>
    <row r="983" spans="6:7" ht="15.75" customHeight="1">
      <c r="F983" s="1"/>
      <c r="G983" s="1"/>
    </row>
    <row r="984" spans="6:7" ht="15.75" customHeight="1">
      <c r="F984" s="1"/>
      <c r="G984" s="1"/>
    </row>
    <row r="985" spans="6:7" ht="15.75" customHeight="1">
      <c r="F985" s="1"/>
      <c r="G985" s="1"/>
    </row>
    <row r="986" spans="6:7" ht="15.75" customHeight="1">
      <c r="F986" s="1"/>
      <c r="G986" s="1"/>
    </row>
    <row r="987" spans="6:7" ht="15.75" customHeight="1">
      <c r="F987" s="1"/>
      <c r="G987" s="1"/>
    </row>
    <row r="988" spans="6:7" ht="15.75" customHeight="1">
      <c r="F988" s="1"/>
      <c r="G988" s="1"/>
    </row>
    <row r="989" spans="6:7" ht="15.75" customHeight="1">
      <c r="F989" s="1"/>
      <c r="G989" s="1"/>
    </row>
    <row r="990" spans="6:7" ht="15.75" customHeight="1">
      <c r="F990" s="1"/>
      <c r="G990" s="1"/>
    </row>
    <row r="991" spans="6:7" ht="15.75" customHeight="1">
      <c r="F991" s="1"/>
      <c r="G991" s="1"/>
    </row>
    <row r="992" spans="6:7" ht="15.75" customHeight="1">
      <c r="F992" s="1"/>
      <c r="G992" s="1"/>
    </row>
    <row r="993" spans="6:7" ht="15.75" customHeight="1">
      <c r="F993" s="1"/>
      <c r="G993" s="1"/>
    </row>
    <row r="994" spans="6:7" ht="15.75" customHeight="1">
      <c r="F994" s="1"/>
      <c r="G994" s="1"/>
    </row>
    <row r="995" spans="6:7" ht="15.75" customHeight="1">
      <c r="F995" s="1"/>
      <c r="G995" s="1"/>
    </row>
    <row r="996" spans="6:7" ht="15.75" customHeight="1">
      <c r="F996" s="1"/>
      <c r="G996" s="1"/>
    </row>
    <row r="997" spans="6:7" ht="15.75" customHeight="1">
      <c r="F997" s="1"/>
      <c r="G997" s="1"/>
    </row>
    <row r="998" spans="6:7" ht="15.75" customHeight="1">
      <c r="F998" s="1"/>
      <c r="G998" s="1"/>
    </row>
    <row r="999" spans="6:7" ht="15.75" customHeight="1">
      <c r="F999" s="1"/>
      <c r="G999" s="1"/>
    </row>
    <row r="1000" spans="6:7" ht="15.75" customHeight="1">
      <c r="F1000" s="1"/>
      <c r="G1000" s="1"/>
    </row>
    <row r="1001" spans="6:7" ht="15.75" customHeight="1">
      <c r="F1001" s="1"/>
      <c r="G1001" s="1"/>
    </row>
    <row r="1002" spans="6:7" ht="15.75" customHeight="1">
      <c r="F1002" s="1"/>
      <c r="G1002" s="1"/>
    </row>
    <row r="1003" spans="6:7" ht="15.75" customHeight="1">
      <c r="F1003" s="1"/>
      <c r="G1003" s="1"/>
    </row>
    <row r="1004" spans="6:7" ht="15.75" customHeight="1">
      <c r="F1004" s="1"/>
      <c r="G1004" s="1"/>
    </row>
    <row r="1005" spans="6:7" ht="15.75" customHeight="1">
      <c r="F1005" s="1"/>
      <c r="G1005" s="1"/>
    </row>
    <row r="1006" spans="6:7" ht="15.75" customHeight="1">
      <c r="F1006" s="1"/>
      <c r="G1006" s="1"/>
    </row>
    <row r="1007" spans="6:7" ht="15.75" customHeight="1">
      <c r="F1007" s="1"/>
      <c r="G1007" s="1"/>
    </row>
    <row r="1008" spans="6:7" ht="15.75" customHeight="1">
      <c r="F1008" s="1"/>
      <c r="G1008" s="1"/>
    </row>
    <row r="1009" spans="6:7" ht="15.75" customHeight="1">
      <c r="F1009" s="1"/>
      <c r="G1009" s="1"/>
    </row>
    <row r="1010" spans="6:7" ht="15.75" customHeight="1">
      <c r="F1010" s="1"/>
      <c r="G1010" s="1"/>
    </row>
    <row r="1011" spans="6:7" ht="15.75" customHeight="1">
      <c r="F1011" s="1"/>
      <c r="G1011" s="1"/>
    </row>
    <row r="1012" spans="6:7" ht="15" customHeight="1">
      <c r="F1012" s="1"/>
      <c r="G1012" s="1"/>
    </row>
  </sheetData>
  <mergeCells count="2">
    <mergeCell ref="F55:I56"/>
    <mergeCell ref="K55:N56"/>
  </mergeCells>
  <pageMargins left="0.11811023622047245" right="0.11811023622047245" top="0.39370078740157483" bottom="0.39370078740157483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C1458CC37B0444BA56125A6038E995" ma:contentTypeVersion="3" ma:contentTypeDescription="Crie um novo documento." ma:contentTypeScope="" ma:versionID="e6bb0adb1c29ddeba0a18117c6f399e4">
  <xsd:schema xmlns:xsd="http://www.w3.org/2001/XMLSchema" xmlns:xs="http://www.w3.org/2001/XMLSchema" xmlns:p="http://schemas.microsoft.com/office/2006/metadata/properties" xmlns:ns2="b7314150-17d6-4c36-bab9-49cf38293ea3" targetNamespace="http://schemas.microsoft.com/office/2006/metadata/properties" ma:root="true" ma:fieldsID="b320da244ecc769aa9541d299bf201ed" ns2:_="">
    <xsd:import namespace="b7314150-17d6-4c36-bab9-49cf38293e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14150-17d6-4c36-bab9-49cf38293e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248B7A-9DF8-48C0-8787-7268BC54EC4C}"/>
</file>

<file path=customXml/itemProps2.xml><?xml version="1.0" encoding="utf-8"?>
<ds:datastoreItem xmlns:ds="http://schemas.openxmlformats.org/officeDocument/2006/customXml" ds:itemID="{1ACB0475-40E4-46C6-A33D-75EC924092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FBC196-494C-40AF-B925-AB24AC26A49F}">
  <ds:schemaRefs>
    <ds:schemaRef ds:uri="http://www.w3.org/XML/1998/namespace"/>
    <ds:schemaRef ds:uri="087dfca5-4387-46c0-9d72-b2584d837de5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60c8ab77-03a8-435e-a654-67f223d39029"/>
    <ds:schemaRef ds:uri="http://purl.org/dc/elements/1.1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Demonstração do Resultado</vt:lpstr>
      <vt:lpstr>Balanço Patrimonial</vt:lpstr>
      <vt:lpstr>Índices </vt:lpstr>
      <vt:lpstr>Índices_Liquidez</vt:lpstr>
      <vt:lpstr>Índices_Rentabilidade</vt:lpstr>
      <vt:lpstr>DRE_EBITDA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Grigoletto</dc:creator>
  <cp:keywords/>
  <dc:description/>
  <cp:lastModifiedBy>NEUSA IRMA DE OLIVEIRA</cp:lastModifiedBy>
  <cp:revision/>
  <cp:lastPrinted>2026-04-07T18:50:14Z</cp:lastPrinted>
  <dcterms:created xsi:type="dcterms:W3CDTF">2024-08-06T16:49:15Z</dcterms:created>
  <dcterms:modified xsi:type="dcterms:W3CDTF">2026-04-09T13:07:30Z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0x0101006CC1458CC37B0444BA56125A6038E995</vt:lpwstr>
  </property>
  <property fmtid="{D5CDD505-2E9C-101B-9397-08002B2CF9AE}" pid="3" name="MediaServiceImageTags">
    <vt:lpwstr/>
  </property>
</Properties>
</file>