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D:\UC6\"/>
    </mc:Choice>
  </mc:AlternateContent>
  <xr:revisionPtr revIDLastSave="128" documentId="13_ncr:1_{0AB73052-5AC7-4E87-902F-14D9AED935E0}" xr6:coauthVersionLast="47" xr6:coauthVersionMax="47" xr10:uidLastSave="{C2DD5C2A-07D2-4EA8-A541-0A0C1FE17C17}"/>
  <bookViews>
    <workbookView xWindow="-108" yWindow="-108" windowWidth="23256" windowHeight="12456" firstSheet="1" activeTab="2" xr2:uid="{00000000-000D-0000-FFFF-FFFF00000000}"/>
  </bookViews>
  <sheets>
    <sheet name="Plano_Contas" sheetId="1" r:id="rId1"/>
    <sheet name="Livro_Diario" sheetId="2" r:id="rId2"/>
    <sheet name="Balancete" sheetId="5" r:id="rId3"/>
    <sheet name="Cópia_Balancete" sheetId="6" state="hidden" r:id="rId4"/>
    <sheet name="Folha_Pagamento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5" l="1"/>
  <c r="J160" i="2"/>
  <c r="J159" i="2"/>
  <c r="I161" i="2"/>
  <c r="J161" i="2"/>
  <c r="J157" i="2"/>
  <c r="J156" i="2"/>
  <c r="J155" i="2"/>
  <c r="I157" i="2"/>
  <c r="H157" i="2"/>
  <c r="F95" i="2"/>
  <c r="F97" i="2"/>
  <c r="D37" i="5"/>
  <c r="E37" i="5"/>
  <c r="F37" i="5" l="1"/>
  <c r="G37" i="5" s="1"/>
  <c r="H37" i="5" l="1"/>
  <c r="D13" i="5" l="1"/>
  <c r="E13" i="5"/>
  <c r="D32" i="5"/>
  <c r="E32" i="5"/>
  <c r="D33" i="5"/>
  <c r="E33" i="5"/>
  <c r="D34" i="5"/>
  <c r="E34" i="5"/>
  <c r="D35" i="5"/>
  <c r="E35" i="5"/>
  <c r="D36" i="5"/>
  <c r="E36" i="5"/>
  <c r="D38" i="5"/>
  <c r="E38" i="5"/>
  <c r="E56" i="5"/>
  <c r="E57" i="5"/>
  <c r="E58" i="5"/>
  <c r="E59" i="5"/>
  <c r="D57" i="5"/>
  <c r="D58" i="5"/>
  <c r="D59" i="5"/>
  <c r="F13" i="5" l="1"/>
  <c r="H13" i="5" s="1"/>
  <c r="F35" i="5"/>
  <c r="G35" i="5" s="1"/>
  <c r="F34" i="5"/>
  <c r="G34" i="5" s="1"/>
  <c r="F36" i="5"/>
  <c r="G36" i="5" s="1"/>
  <c r="F32" i="5"/>
  <c r="G32" i="5" s="1"/>
  <c r="F33" i="5"/>
  <c r="G33" i="5" s="1"/>
  <c r="F38" i="5"/>
  <c r="G38" i="5" s="1"/>
  <c r="F59" i="5"/>
  <c r="F58" i="5"/>
  <c r="F57" i="5"/>
  <c r="D116" i="7"/>
  <c r="E57" i="6"/>
  <c r="D57" i="6"/>
  <c r="G13" i="5" l="1"/>
  <c r="H32" i="5"/>
  <c r="H34" i="5"/>
  <c r="H33" i="5"/>
  <c r="H36" i="5"/>
  <c r="H35" i="5"/>
  <c r="H38" i="5"/>
  <c r="H58" i="5"/>
  <c r="G58" i="5"/>
  <c r="G57" i="5"/>
  <c r="H57" i="5"/>
  <c r="H59" i="5"/>
  <c r="G59" i="5"/>
  <c r="E5" i="5" l="1"/>
  <c r="E6" i="5"/>
  <c r="E7" i="5"/>
  <c r="E8" i="5"/>
  <c r="E9" i="5"/>
  <c r="E10" i="5"/>
  <c r="E11" i="5"/>
  <c r="E12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4" i="5"/>
  <c r="D5" i="5"/>
  <c r="D6" i="5"/>
  <c r="D7" i="5"/>
  <c r="D8" i="5"/>
  <c r="D9" i="5"/>
  <c r="D10" i="5"/>
  <c r="D11" i="5"/>
  <c r="D12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F56" i="5" s="1"/>
  <c r="D4" i="5"/>
  <c r="F8" i="5" l="1"/>
  <c r="H8" i="5" s="1"/>
  <c r="F17" i="5"/>
  <c r="H17" i="5" s="1"/>
  <c r="F25" i="5"/>
  <c r="H25" i="5" s="1"/>
  <c r="F39" i="5"/>
  <c r="H39" i="5" s="1"/>
  <c r="F7" i="5"/>
  <c r="G7" i="5" s="1"/>
  <c r="F16" i="5"/>
  <c r="H16" i="5" s="1"/>
  <c r="F46" i="5"/>
  <c r="G46" i="5" s="1"/>
  <c r="F24" i="5"/>
  <c r="H24" i="5" s="1"/>
  <c r="F54" i="5"/>
  <c r="H54" i="5" s="1"/>
  <c r="F14" i="5"/>
  <c r="G14" i="5" s="1"/>
  <c r="F5" i="5"/>
  <c r="G5" i="5" s="1"/>
  <c r="F18" i="5"/>
  <c r="H18" i="5" s="1"/>
  <c r="H56" i="5"/>
  <c r="G56" i="5"/>
  <c r="F29" i="5"/>
  <c r="G29" i="5" s="1"/>
  <c r="F55" i="5"/>
  <c r="H55" i="5" s="1"/>
  <c r="F47" i="5"/>
  <c r="H47" i="5" s="1"/>
  <c r="F51" i="5"/>
  <c r="H51" i="5" s="1"/>
  <c r="F43" i="5"/>
  <c r="G43" i="5" s="1"/>
  <c r="F45" i="5"/>
  <c r="G45" i="5" s="1"/>
  <c r="F31" i="5"/>
  <c r="H31" i="5" s="1"/>
  <c r="F23" i="5"/>
  <c r="G23" i="5" s="1"/>
  <c r="F10" i="5"/>
  <c r="H10" i="5" s="1"/>
  <c r="F49" i="5"/>
  <c r="G49" i="5" s="1"/>
  <c r="F41" i="5"/>
  <c r="G41" i="5" s="1"/>
  <c r="F27" i="5"/>
  <c r="H27" i="5" s="1"/>
  <c r="F11" i="5"/>
  <c r="G11" i="5" s="1"/>
  <c r="F50" i="5"/>
  <c r="H50" i="5" s="1"/>
  <c r="F28" i="5"/>
  <c r="H28" i="5" s="1"/>
  <c r="F20" i="5"/>
  <c r="H20" i="5" s="1"/>
  <c r="F12" i="5"/>
  <c r="F48" i="5"/>
  <c r="G48" i="5" s="1"/>
  <c r="F40" i="5"/>
  <c r="H40" i="5" s="1"/>
  <c r="F26" i="5"/>
  <c r="H26" i="5" s="1"/>
  <c r="F19" i="5"/>
  <c r="H19" i="5" s="1"/>
  <c r="F53" i="5"/>
  <c r="H53" i="5" s="1"/>
  <c r="F9" i="5"/>
  <c r="G9" i="5" s="1"/>
  <c r="F52" i="5"/>
  <c r="H52" i="5" s="1"/>
  <c r="F44" i="5"/>
  <c r="G44" i="5" s="1"/>
  <c r="F30" i="5"/>
  <c r="H30" i="5" s="1"/>
  <c r="F22" i="5"/>
  <c r="G22" i="5" s="1"/>
  <c r="F15" i="5"/>
  <c r="H15" i="5" s="1"/>
  <c r="F6" i="5"/>
  <c r="G6" i="5" s="1"/>
  <c r="F21" i="5"/>
  <c r="G21" i="5" s="1"/>
  <c r="F42" i="5"/>
  <c r="H42" i="5" s="1"/>
  <c r="G12" i="5" l="1"/>
  <c r="H12" i="5"/>
  <c r="G8" i="5"/>
  <c r="G17" i="5"/>
  <c r="G25" i="5"/>
  <c r="G39" i="5"/>
  <c r="H7" i="5"/>
  <c r="G16" i="5"/>
  <c r="G24" i="5"/>
  <c r="H46" i="5"/>
  <c r="H14" i="5"/>
  <c r="H5" i="5"/>
  <c r="G54" i="5"/>
  <c r="G18" i="5"/>
  <c r="H29" i="5"/>
  <c r="G51" i="5"/>
  <c r="G55" i="5"/>
  <c r="G47" i="5"/>
  <c r="H45" i="5"/>
  <c r="H23" i="5"/>
  <c r="I26" i="5" s="1"/>
  <c r="H43" i="5"/>
  <c r="H41" i="5"/>
  <c r="G31" i="5"/>
  <c r="G10" i="5"/>
  <c r="G28" i="5"/>
  <c r="G27" i="5"/>
  <c r="H49" i="5"/>
  <c r="H11" i="5"/>
  <c r="G50" i="5"/>
  <c r="H48" i="5"/>
  <c r="H22" i="5"/>
  <c r="G19" i="5"/>
  <c r="H6" i="5"/>
  <c r="G30" i="5"/>
  <c r="G40" i="5"/>
  <c r="G20" i="5"/>
  <c r="G15" i="5"/>
  <c r="H9" i="5"/>
  <c r="H21" i="5"/>
  <c r="G42" i="5"/>
  <c r="G53" i="5"/>
  <c r="G52" i="5"/>
  <c r="H44" i="5"/>
  <c r="G26" i="5"/>
  <c r="I43" i="5" l="1"/>
  <c r="L45" i="5" s="1"/>
  <c r="I84" i="7"/>
  <c r="I83" i="7"/>
  <c r="F85" i="7"/>
  <c r="F92" i="7" s="1"/>
  <c r="C85" i="7"/>
  <c r="C92" i="7" s="1"/>
  <c r="F71" i="7"/>
  <c r="F78" i="7" s="1"/>
  <c r="C71" i="7"/>
  <c r="C78" i="7" s="1"/>
  <c r="I70" i="7"/>
  <c r="I69" i="7"/>
  <c r="I56" i="7"/>
  <c r="I55" i="7"/>
  <c r="F57" i="7"/>
  <c r="F64" i="7" s="1"/>
  <c r="C57" i="7"/>
  <c r="C64" i="7" s="1"/>
  <c r="I38" i="7"/>
  <c r="I37" i="7"/>
  <c r="F39" i="7"/>
  <c r="F46" i="7" s="1"/>
  <c r="C39" i="7"/>
  <c r="C46" i="7" s="1"/>
  <c r="I24" i="7"/>
  <c r="I23" i="7"/>
  <c r="F25" i="7"/>
  <c r="F32" i="7" s="1"/>
  <c r="C25" i="7"/>
  <c r="C32" i="7" s="1"/>
  <c r="I9" i="7"/>
  <c r="I10" i="7"/>
  <c r="F11" i="7"/>
  <c r="F18" i="7" s="1"/>
  <c r="C11" i="7"/>
  <c r="C18" i="7" s="1"/>
  <c r="D104" i="7"/>
  <c r="D103" i="7"/>
  <c r="D100" i="7"/>
  <c r="I91" i="7"/>
  <c r="I90" i="7"/>
  <c r="I89" i="7"/>
  <c r="I88" i="7"/>
  <c r="I87" i="7"/>
  <c r="I86" i="7"/>
  <c r="I82" i="7"/>
  <c r="I77" i="7"/>
  <c r="I76" i="7"/>
  <c r="I75" i="7"/>
  <c r="I74" i="7"/>
  <c r="I73" i="7"/>
  <c r="I72" i="7"/>
  <c r="I68" i="7"/>
  <c r="I63" i="7"/>
  <c r="I62" i="7"/>
  <c r="I61" i="7"/>
  <c r="I60" i="7"/>
  <c r="I59" i="7"/>
  <c r="I58" i="7"/>
  <c r="I54" i="7"/>
  <c r="I45" i="7"/>
  <c r="I44" i="7"/>
  <c r="I43" i="7"/>
  <c r="I42" i="7"/>
  <c r="I41" i="7"/>
  <c r="I40" i="7"/>
  <c r="I36" i="7"/>
  <c r="I31" i="7"/>
  <c r="I30" i="7"/>
  <c r="I29" i="7"/>
  <c r="I28" i="7"/>
  <c r="I27" i="7"/>
  <c r="I26" i="7"/>
  <c r="I22" i="7"/>
  <c r="I17" i="7"/>
  <c r="I16" i="7"/>
  <c r="I15" i="7"/>
  <c r="I14" i="7"/>
  <c r="I13" i="7"/>
  <c r="I12" i="7"/>
  <c r="I8" i="7"/>
  <c r="I85" i="7" l="1"/>
  <c r="I92" i="7" s="1"/>
  <c r="I71" i="7"/>
  <c r="I78" i="7" s="1"/>
  <c r="I57" i="7"/>
  <c r="I64" i="7" s="1"/>
  <c r="I39" i="7"/>
  <c r="I46" i="7" s="1"/>
  <c r="I11" i="7"/>
  <c r="I18" i="7" s="1"/>
  <c r="I25" i="7"/>
  <c r="I32" i="7" s="1"/>
  <c r="C94" i="7"/>
  <c r="F48" i="7"/>
  <c r="C48" i="7"/>
  <c r="F94" i="7"/>
  <c r="D60" i="5"/>
  <c r="E60" i="5"/>
  <c r="I48" i="7" l="1"/>
  <c r="I94" i="7"/>
  <c r="F4" i="5"/>
  <c r="F60" i="5" s="1"/>
  <c r="G4" i="5" l="1"/>
  <c r="G60" i="5" s="1"/>
  <c r="H4" i="5"/>
  <c r="H60" i="5" s="1"/>
</calcChain>
</file>

<file path=xl/sharedStrings.xml><?xml version="1.0" encoding="utf-8"?>
<sst xmlns="http://schemas.openxmlformats.org/spreadsheetml/2006/main" count="1179" uniqueCount="316">
  <si>
    <t>Código</t>
  </si>
  <si>
    <t>Conta</t>
  </si>
  <si>
    <t>Tipo</t>
  </si>
  <si>
    <t>1.1</t>
  </si>
  <si>
    <t>Ativo</t>
  </si>
  <si>
    <t>Ativo Circulante</t>
  </si>
  <si>
    <t>1.1.01</t>
  </si>
  <si>
    <t>Caixa/Banco</t>
  </si>
  <si>
    <t>1.1.02</t>
  </si>
  <si>
    <t>Honorários a Receber</t>
  </si>
  <si>
    <t>1.2.01</t>
  </si>
  <si>
    <t>Imóveis (Sede Própria)</t>
  </si>
  <si>
    <t>Ativo Não Circulante</t>
  </si>
  <si>
    <t>1.2.02</t>
  </si>
  <si>
    <t>Móveis e Utensílios</t>
  </si>
  <si>
    <t>1.2.03</t>
  </si>
  <si>
    <t>Computadores e Periféricos</t>
  </si>
  <si>
    <t>(-)Depreciação Acumulada</t>
  </si>
  <si>
    <t>Conta Redutora do Ativo</t>
  </si>
  <si>
    <t>obs. Imóveis, Móveis, Computadores e Equipamentos</t>
  </si>
  <si>
    <t>2.1</t>
  </si>
  <si>
    <t>Passivo</t>
  </si>
  <si>
    <t>Passivo Circulante</t>
  </si>
  <si>
    <t>2.1.01</t>
  </si>
  <si>
    <t xml:space="preserve">Fornecedores </t>
  </si>
  <si>
    <t>obs. Parcelamentos</t>
  </si>
  <si>
    <t>2.1.02</t>
  </si>
  <si>
    <t>Contas a Pagar</t>
  </si>
  <si>
    <t>2.1.03</t>
  </si>
  <si>
    <t xml:space="preserve">Salários a Pagar </t>
  </si>
  <si>
    <t>2.1.04</t>
  </si>
  <si>
    <t>VT a pagar</t>
  </si>
  <si>
    <t>2.1.05</t>
  </si>
  <si>
    <t>13º Sal. a pagar</t>
  </si>
  <si>
    <t>2.1.06</t>
  </si>
  <si>
    <t>Férias a pagar</t>
  </si>
  <si>
    <t>2.1.07</t>
  </si>
  <si>
    <t xml:space="preserve">FGTS a Recolher </t>
  </si>
  <si>
    <t>2.1.08</t>
  </si>
  <si>
    <t>INSS a Recolher</t>
  </si>
  <si>
    <t>obs. Sócios e Funcionários)</t>
  </si>
  <si>
    <t>2.1.09</t>
  </si>
  <si>
    <t>ProLabore a Pagar</t>
  </si>
  <si>
    <t>2.1.10</t>
  </si>
  <si>
    <t>IPTU a Pagar</t>
  </si>
  <si>
    <t>2.1.11</t>
  </si>
  <si>
    <t>Imposto Simples Nacional (DAS)</t>
  </si>
  <si>
    <t>2.1.12</t>
  </si>
  <si>
    <t>Provisões a Pagar</t>
  </si>
  <si>
    <t>2.3.01</t>
  </si>
  <si>
    <t xml:space="preserve">Capital Social Integralizado </t>
  </si>
  <si>
    <t>Patrrimônio Líquido</t>
  </si>
  <si>
    <t>2.3.02</t>
  </si>
  <si>
    <t>Lucros ou Prejuízos Acumulados</t>
  </si>
  <si>
    <t>3.1</t>
  </si>
  <si>
    <t>Receita de Serviços Contábeis</t>
  </si>
  <si>
    <t>Receita</t>
  </si>
  <si>
    <t>3.1.01</t>
  </si>
  <si>
    <t xml:space="preserve">Honorários SN (ME/Comércio/Serviço) </t>
  </si>
  <si>
    <t>3.1.02</t>
  </si>
  <si>
    <t xml:space="preserve">Honorários MEI </t>
  </si>
  <si>
    <t>3.1.03</t>
  </si>
  <si>
    <t xml:space="preserve">Receita com Consultoria Tributária </t>
  </si>
  <si>
    <t>3.1.04</t>
  </si>
  <si>
    <t>Receita com DIRPF (Simplificada)</t>
  </si>
  <si>
    <t>3.1.05</t>
  </si>
  <si>
    <t>Receita com DIRPF (Completa/Complexa)</t>
  </si>
  <si>
    <t>3.1.06</t>
  </si>
  <si>
    <t xml:space="preserve">Outros Serviços (DECORE / Abertura / DASN) </t>
  </si>
  <si>
    <t xml:space="preserve">4.1 </t>
  </si>
  <si>
    <t>Despesas Administrativas e Operacionais</t>
  </si>
  <si>
    <t>Despesa</t>
  </si>
  <si>
    <t>4.1.01</t>
  </si>
  <si>
    <t xml:space="preserve">Despesa Água e Esgoto </t>
  </si>
  <si>
    <t>4.1.02</t>
  </si>
  <si>
    <t xml:space="preserve">Despesa Energia Elétrica </t>
  </si>
  <si>
    <t>4.1.03</t>
  </si>
  <si>
    <t xml:space="preserve">Despesa Material de Escritório </t>
  </si>
  <si>
    <t>4.1.04</t>
  </si>
  <si>
    <t xml:space="preserve">Despesa Limpeza e Copa </t>
  </si>
  <si>
    <t>4.1.05</t>
  </si>
  <si>
    <t xml:space="preserve">Desp. Taxas e Registros (JUCESP/Alvará/CRC) </t>
  </si>
  <si>
    <t>4.1.06</t>
  </si>
  <si>
    <t xml:space="preserve">Despesas com Veículos (Combustível) </t>
  </si>
  <si>
    <t>4.1.07</t>
  </si>
  <si>
    <t xml:space="preserve">Despesa  Manutenção e Reformas no Imóvel </t>
  </si>
  <si>
    <t>4.1.08</t>
  </si>
  <si>
    <t>Despesa com Equipamento de Segurança</t>
  </si>
  <si>
    <t>4.1.09</t>
  </si>
  <si>
    <t xml:space="preserve">Despesa com IPTU </t>
  </si>
  <si>
    <t>4.1.10</t>
  </si>
  <si>
    <t>Despesa com Telefone e Internet</t>
  </si>
  <si>
    <t>4.1.11</t>
  </si>
  <si>
    <t>Despesa com Tecnologia/TI</t>
  </si>
  <si>
    <t>4.1.12</t>
  </si>
  <si>
    <t>Despesa com Publicidade/Redes Sociais</t>
  </si>
  <si>
    <t>4.2</t>
  </si>
  <si>
    <t>Despesas com Pessoal e Pró-labore</t>
  </si>
  <si>
    <t>4.2.01</t>
  </si>
  <si>
    <t>Despesa com Salários</t>
  </si>
  <si>
    <t>4.2.02</t>
  </si>
  <si>
    <t>Despesa c/ 13º Sal.</t>
  </si>
  <si>
    <t>4.2.03</t>
  </si>
  <si>
    <t>Despesa c/ Férias</t>
  </si>
  <si>
    <t>4.2.04</t>
  </si>
  <si>
    <t>Despesa c/ FGTS</t>
  </si>
  <si>
    <t>4.2.05</t>
  </si>
  <si>
    <t xml:space="preserve">Despesa c/ Pró-labore </t>
  </si>
  <si>
    <t>4.2.06</t>
  </si>
  <si>
    <t>Despesa c/ VT</t>
  </si>
  <si>
    <t>4.2.07</t>
  </si>
  <si>
    <t>Despesa c/ VR</t>
  </si>
  <si>
    <t>4.2.08</t>
  </si>
  <si>
    <t>Despesa c/ INSS</t>
  </si>
  <si>
    <t xml:space="preserve">4.3 </t>
  </si>
  <si>
    <t>Despesas com Depreciação</t>
  </si>
  <si>
    <t>4.3.01</t>
  </si>
  <si>
    <t>Depreciação do Período</t>
  </si>
  <si>
    <t>5.1</t>
  </si>
  <si>
    <t>Custos</t>
  </si>
  <si>
    <t>Resultado</t>
  </si>
  <si>
    <t>5.1.01</t>
  </si>
  <si>
    <t>Custo com Tecnologia/TI</t>
  </si>
  <si>
    <t>5.1.02</t>
  </si>
  <si>
    <t>Custo c/ ProLabore</t>
  </si>
  <si>
    <t>5.1.03</t>
  </si>
  <si>
    <t>Custo c/ Salários</t>
  </si>
  <si>
    <t>5.1.04</t>
  </si>
  <si>
    <t>Custo c/ INSS</t>
  </si>
  <si>
    <t>5.1.05</t>
  </si>
  <si>
    <t>Custo c/ FGTS</t>
  </si>
  <si>
    <t>5.1.06</t>
  </si>
  <si>
    <t>Custo c/ 13º Prov.</t>
  </si>
  <si>
    <t>5.1.07</t>
  </si>
  <si>
    <t>Custo c/ Férias Prov.</t>
  </si>
  <si>
    <t>5.1.08</t>
  </si>
  <si>
    <t>Custo c/ FGTS sobre Prov.</t>
  </si>
  <si>
    <t>5.2</t>
  </si>
  <si>
    <t>Impostos sobre Serviços</t>
  </si>
  <si>
    <t>5.2.1</t>
  </si>
  <si>
    <t>Data</t>
  </si>
  <si>
    <t>Histórico</t>
  </si>
  <si>
    <t>Conta Débito</t>
  </si>
  <si>
    <t>Conta Crédito</t>
  </si>
  <si>
    <t>Valor</t>
  </si>
  <si>
    <t>Integralização do Capital pelos sócios</t>
  </si>
  <si>
    <t>PagamentoTaxa JUCESP</t>
  </si>
  <si>
    <t>Pagamento Licença CLBC</t>
  </si>
  <si>
    <t>Aquisição de Extintores</t>
  </si>
  <si>
    <t>Pagamento taxa municipal Alvará - anual</t>
  </si>
  <si>
    <t>Compra mensal</t>
  </si>
  <si>
    <t xml:space="preserve">Despesa  Limpeza e Copa </t>
  </si>
  <si>
    <t>Combustível do sócio</t>
  </si>
  <si>
    <t>canetas, toner, sulfite...</t>
  </si>
  <si>
    <t xml:space="preserve">Despesa  Material de Escritório </t>
  </si>
  <si>
    <t>Equip. de Informática</t>
  </si>
  <si>
    <t>Equip. de Informática - 01/15</t>
  </si>
  <si>
    <t>func. Adm. 09/01  - VT</t>
  </si>
  <si>
    <t>VR func. Adm. 09/01</t>
  </si>
  <si>
    <t>mesas, cadeiras, bancada</t>
  </si>
  <si>
    <t>mesas, cadeiras, bancada - 01/18</t>
  </si>
  <si>
    <t>pagto eCPF e eCNPJ - anual</t>
  </si>
  <si>
    <t>Honorários Consultório Dentista - SN</t>
  </si>
  <si>
    <t>Honorários Pad. Pão Gostoso - SN</t>
  </si>
  <si>
    <t>pagto luz</t>
  </si>
  <si>
    <t>Serviços MEI - Doceria</t>
  </si>
  <si>
    <t>Serviços MEI - Boleira</t>
  </si>
  <si>
    <t xml:space="preserve">func. Adm. 20/01 </t>
  </si>
  <si>
    <t>pagto água</t>
  </si>
  <si>
    <t xml:space="preserve">Despesa  Água e Esgoto </t>
  </si>
  <si>
    <t>Emissão DECORE</t>
  </si>
  <si>
    <t>Consultorias MEI</t>
  </si>
  <si>
    <t>Emissão DECORE - sr. Cláudio</t>
  </si>
  <si>
    <t>Tempero Dimas - MEI</t>
  </si>
  <si>
    <t>DASN - MEI  Declarações</t>
  </si>
  <si>
    <t>Abertura de MEIs</t>
  </si>
  <si>
    <t>Pagto IPTU</t>
  </si>
  <si>
    <t>Consultoria MEI Marcos</t>
  </si>
  <si>
    <t>Consultoria Alice - MEI</t>
  </si>
  <si>
    <t>Emissão DECORE (2)</t>
  </si>
  <si>
    <t>Calçados Estiloso - SN</t>
  </si>
  <si>
    <t>Reforma / pintura escritório</t>
  </si>
  <si>
    <t xml:space="preserve">Despesa Manutenção e Reformas no Imóvel </t>
  </si>
  <si>
    <t>Salários</t>
  </si>
  <si>
    <t>prolabore sócio2</t>
  </si>
  <si>
    <t>FGTS</t>
  </si>
  <si>
    <t>INSS a recolher</t>
  </si>
  <si>
    <t>INSS a rcolher sócio2</t>
  </si>
  <si>
    <t>Vale Transporte</t>
  </si>
  <si>
    <t>pgto sócios</t>
  </si>
  <si>
    <t>INSS dos sócios</t>
  </si>
  <si>
    <t>13º - Provisão ref. competência 01/2025</t>
  </si>
  <si>
    <t>Férias - Provisão ref. competência 01/2025</t>
  </si>
  <si>
    <t>FGTS - Provisão ref. competência 01/2025</t>
  </si>
  <si>
    <t>13º - Provisão ref. Custo  01/2025</t>
  </si>
  <si>
    <t>Férias - Provisão ref. Custo  01/2025</t>
  </si>
  <si>
    <t>FGTS - Provisão ref. custo 01/2025</t>
  </si>
  <si>
    <t>Registro CRC (anuidade)</t>
  </si>
  <si>
    <t>depreciação mensal dos imobilizado</t>
  </si>
  <si>
    <t>Despesa c/ Depreciação</t>
  </si>
  <si>
    <t>pgto VT</t>
  </si>
  <si>
    <t>pgto VR</t>
  </si>
  <si>
    <t>pgto prolabore</t>
  </si>
  <si>
    <t>pgto folha</t>
  </si>
  <si>
    <t>Consultoria MEI</t>
  </si>
  <si>
    <t>56 geral</t>
  </si>
  <si>
    <t>compra café, descart., prod. Limpeza</t>
  </si>
  <si>
    <t>Combustível</t>
  </si>
  <si>
    <t xml:space="preserve"> DECORE </t>
  </si>
  <si>
    <t>MEI (Comércio/Serviço)</t>
  </si>
  <si>
    <t>MEI (Comércio/Serviço)(2)</t>
  </si>
  <si>
    <t>Equipamentos de Informática - 02/15</t>
  </si>
  <si>
    <t>Móveis - 02/18</t>
  </si>
  <si>
    <t>Internet Vivo</t>
  </si>
  <si>
    <t>DIRPF (Completa/Complexa)</t>
  </si>
  <si>
    <t>DIRPF (Simplificada) (2)</t>
  </si>
  <si>
    <t>Simples Nacional (ME - Serv)</t>
  </si>
  <si>
    <t>Simples Nacional (ME - Com)</t>
  </si>
  <si>
    <t>Sistema Contábil Makro</t>
  </si>
  <si>
    <t>Pagto Conta Energia</t>
  </si>
  <si>
    <t>Declaração Anual (DASN-SIMEI)</t>
  </si>
  <si>
    <t>DIRPF (Simplificada)</t>
  </si>
  <si>
    <t>FGTS a recolher</t>
  </si>
  <si>
    <t>DAS</t>
  </si>
  <si>
    <t>Impostos Simples Nacional (DAS)</t>
  </si>
  <si>
    <t>DECORE</t>
  </si>
  <si>
    <t>Abertura de ME/EPP (SN)</t>
  </si>
  <si>
    <t>Declaração Anual (DASN-SIMEI)(3)</t>
  </si>
  <si>
    <t>Declaração Anual (DASN-SIMEI)(5)</t>
  </si>
  <si>
    <t>Simples Nacional (Com)</t>
  </si>
  <si>
    <t>custos com sócios</t>
  </si>
  <si>
    <t>Provisão 13º Salário</t>
  </si>
  <si>
    <t>13º Sal. A pagar</t>
  </si>
  <si>
    <t>Provisão Férias + 1/3</t>
  </si>
  <si>
    <t>FGTS sobre Provisões</t>
  </si>
  <si>
    <t>Equipamentos de Informática - 03/15</t>
  </si>
  <si>
    <t>Material de Escritório</t>
  </si>
  <si>
    <t>Móveis - 03/18</t>
  </si>
  <si>
    <t>Sistema Contábil</t>
  </si>
  <si>
    <t>DIRPF (Simplificada)(2)</t>
  </si>
  <si>
    <t>Consultoria MEI (2)</t>
  </si>
  <si>
    <t>Declaração Anual (DASN-SIMEI)(2)</t>
  </si>
  <si>
    <t>Pagto Conta  Água</t>
  </si>
  <si>
    <t>Declaração Anual (DASN-SIMEI)(6)</t>
  </si>
  <si>
    <t>Declaração Anual (DASN-SIMEI)(4)</t>
  </si>
  <si>
    <t>Vale Transp.</t>
  </si>
  <si>
    <t>geral</t>
  </si>
  <si>
    <t>fixo</t>
  </si>
  <si>
    <t>1º Semestre + 10%</t>
  </si>
  <si>
    <t>1º Semestre + 15%</t>
  </si>
  <si>
    <t>Marketing</t>
  </si>
  <si>
    <t>Balancete de Verificação   -  1º Trimestre/2025</t>
  </si>
  <si>
    <t>Grupo</t>
  </si>
  <si>
    <t>Débito</t>
  </si>
  <si>
    <t>Crédito</t>
  </si>
  <si>
    <t>A</t>
  </si>
  <si>
    <t>ANC</t>
  </si>
  <si>
    <t>cta redutora do ativo</t>
  </si>
  <si>
    <t>P</t>
  </si>
  <si>
    <t>PL</t>
  </si>
  <si>
    <t>Result.</t>
  </si>
  <si>
    <t>Total receitas</t>
  </si>
  <si>
    <t>total despesas</t>
  </si>
  <si>
    <t>Despesas + 8%</t>
  </si>
  <si>
    <t xml:space="preserve">Despesa c/ INSS </t>
  </si>
  <si>
    <t xml:space="preserve">        Total</t>
  </si>
  <si>
    <t>Despesa c/ depreciação</t>
  </si>
  <si>
    <t>1º Trimestre</t>
  </si>
  <si>
    <t>adm. 09/01/2025</t>
  </si>
  <si>
    <t>adm. 20/01/2025</t>
  </si>
  <si>
    <t>2X por semana - 4h/dia</t>
  </si>
  <si>
    <t>200h/mês - 40h semanais</t>
  </si>
  <si>
    <t>Auxiliar de Serviços Gerais</t>
  </si>
  <si>
    <t>Assistente Administrativo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</si>
  <si>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Janeiro</t>
    </r>
  </si>
  <si>
    <t>Salário Bruto</t>
  </si>
  <si>
    <t>calcular desconto do INSS</t>
  </si>
  <si>
    <t>INSS 7,5%</t>
  </si>
  <si>
    <t>INSS 9%</t>
  </si>
  <si>
    <t>INSS</t>
  </si>
  <si>
    <t>VT</t>
  </si>
  <si>
    <t>Vr. Líquido</t>
  </si>
  <si>
    <t>FGTS 8%</t>
  </si>
  <si>
    <t>Prov Férias + 1/3</t>
  </si>
  <si>
    <t>Prov 13º Salário</t>
  </si>
  <si>
    <t>VT Empresa</t>
  </si>
  <si>
    <t>7 dias</t>
  </si>
  <si>
    <t>10 dias</t>
  </si>
  <si>
    <t>Vale Refeição</t>
  </si>
  <si>
    <t>Total: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</si>
  <si>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Fevereiro</t>
    </r>
  </si>
  <si>
    <t>Vale TRansporte</t>
  </si>
  <si>
    <t>Valor Líquido</t>
  </si>
  <si>
    <t>8 dias</t>
  </si>
  <si>
    <t>20 dias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</si>
  <si>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Março</t>
    </r>
  </si>
  <si>
    <t>18 dias</t>
  </si>
  <si>
    <t xml:space="preserve">Custo Total 1º Trimestre: </t>
  </si>
  <si>
    <t>2º Trimestre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</si>
  <si>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Abril</t>
    </r>
  </si>
  <si>
    <t>9 dias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</si>
  <si>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Maio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</si>
  <si>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Junho</t>
    </r>
  </si>
  <si>
    <t>19 dias</t>
  </si>
  <si>
    <t xml:space="preserve">Custo Total 2º Trimestre: </t>
  </si>
  <si>
    <t>Pró-Labore</t>
  </si>
  <si>
    <t>Coluna1</t>
  </si>
  <si>
    <t>Sócio 1</t>
  </si>
  <si>
    <t>custo</t>
  </si>
  <si>
    <t>INSS 11%</t>
  </si>
  <si>
    <t>encago do sócio</t>
  </si>
  <si>
    <t>Valor Líq.</t>
  </si>
  <si>
    <t>liquido que vai sair do caixa</t>
  </si>
  <si>
    <t>Sócio 2</t>
  </si>
  <si>
    <t>Total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</si>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</sst>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3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4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00206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44" fontId="0" fillId="0" borderId="0" xfId="0" applyNumberFormat="1"/>
    <xf numFmtId="0" fontId="0" fillId="0" borderId="1" xfId="0" applyBorder="1"/>
    <xf numFmtId="44" fontId="11" fillId="0" borderId="1" xfId="1" applyFont="1" applyBorder="1"/>
    <xf numFmtId="44" fontId="0" fillId="0" borderId="0" xfId="1" applyFont="1"/>
    <xf numFmtId="44" fontId="0" fillId="0" borderId="5" xfId="1" applyFont="1" applyBorder="1"/>
    <xf numFmtId="0" fontId="13" fillId="0" borderId="4" xfId="0" applyFont="1" applyBorder="1"/>
    <xf numFmtId="4" fontId="13" fillId="0" borderId="4" xfId="0" applyNumberFormat="1" applyFont="1" applyBorder="1"/>
    <xf numFmtId="4" fontId="13" fillId="0" borderId="6" xfId="0" applyNumberFormat="1" applyFont="1" applyBorder="1"/>
    <xf numFmtId="0" fontId="11" fillId="0" borderId="1" xfId="0" applyFont="1" applyBorder="1" applyAlignment="1">
      <alignment horizontal="center"/>
    </xf>
    <xf numFmtId="44" fontId="13" fillId="2" borderId="1" xfId="1" applyFont="1" applyFill="1" applyBorder="1"/>
    <xf numFmtId="44" fontId="0" fillId="2" borderId="0" xfId="1" applyFont="1" applyFill="1"/>
    <xf numFmtId="44" fontId="3" fillId="2" borderId="5" xfId="1" applyFont="1" applyFill="1" applyBorder="1"/>
    <xf numFmtId="0" fontId="11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/>
    </xf>
    <xf numFmtId="2" fontId="0" fillId="0" borderId="0" xfId="0" applyNumberFormat="1"/>
    <xf numFmtId="0" fontId="0" fillId="0" borderId="7" xfId="0" applyBorder="1"/>
    <xf numFmtId="0" fontId="0" fillId="4" borderId="0" xfId="0" applyFill="1"/>
    <xf numFmtId="0" fontId="0" fillId="0" borderId="5" xfId="0" applyBorder="1"/>
    <xf numFmtId="0" fontId="0" fillId="0" borderId="8" xfId="0" applyBorder="1"/>
    <xf numFmtId="0" fontId="11" fillId="0" borderId="5" xfId="0" applyFont="1" applyBorder="1" applyAlignment="1">
      <alignment horizontal="left" vertical="center"/>
    </xf>
    <xf numFmtId="44" fontId="15" fillId="0" borderId="0" xfId="0" applyNumberFormat="1" applyFont="1"/>
    <xf numFmtId="0" fontId="17" fillId="0" borderId="0" xfId="0" applyFont="1" applyAlignment="1">
      <alignment horizontal="left" vertical="center"/>
    </xf>
    <xf numFmtId="8" fontId="17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left" vertical="center"/>
    </xf>
    <xf numFmtId="0" fontId="0" fillId="0" borderId="9" xfId="0" applyBorder="1"/>
    <xf numFmtId="0" fontId="23" fillId="0" borderId="0" xfId="0" applyFont="1" applyAlignment="1">
      <alignment horizontal="center"/>
    </xf>
    <xf numFmtId="0" fontId="24" fillId="0" borderId="0" xfId="0" applyFont="1"/>
    <xf numFmtId="44" fontId="23" fillId="0" borderId="0" xfId="1" applyFont="1"/>
    <xf numFmtId="0" fontId="25" fillId="0" borderId="0" xfId="0" applyFont="1"/>
    <xf numFmtId="44" fontId="26" fillId="0" borderId="0" xfId="1" applyFont="1"/>
    <xf numFmtId="0" fontId="28" fillId="0" borderId="0" xfId="0" applyFont="1"/>
    <xf numFmtId="0" fontId="29" fillId="0" borderId="0" xfId="0" applyFont="1"/>
    <xf numFmtId="43" fontId="28" fillId="0" borderId="0" xfId="1" applyNumberFormat="1" applyFont="1"/>
    <xf numFmtId="43" fontId="28" fillId="0" borderId="0" xfId="0" applyNumberFormat="1" applyFont="1"/>
    <xf numFmtId="0" fontId="31" fillId="0" borderId="0" xfId="0" applyFont="1"/>
    <xf numFmtId="0" fontId="29" fillId="6" borderId="0" xfId="0" applyFont="1" applyFill="1"/>
    <xf numFmtId="43" fontId="29" fillId="6" borderId="0" xfId="1" applyNumberFormat="1" applyFont="1" applyFill="1"/>
    <xf numFmtId="43" fontId="29" fillId="6" borderId="0" xfId="0" applyNumberFormat="1" applyFont="1" applyFill="1"/>
    <xf numFmtId="0" fontId="28" fillId="6" borderId="0" xfId="0" applyFont="1" applyFill="1"/>
    <xf numFmtId="0" fontId="28" fillId="5" borderId="0" xfId="0" applyFont="1" applyFill="1"/>
    <xf numFmtId="43" fontId="28" fillId="5" borderId="0" xfId="1" applyNumberFormat="1" applyFont="1" applyFill="1"/>
    <xf numFmtId="0" fontId="34" fillId="0" borderId="0" xfId="0" applyFont="1"/>
    <xf numFmtId="0" fontId="35" fillId="0" borderId="0" xfId="0" applyFont="1"/>
    <xf numFmtId="43" fontId="34" fillId="0" borderId="0" xfId="0" applyNumberFormat="1" applyFont="1"/>
    <xf numFmtId="0" fontId="32" fillId="7" borderId="0" xfId="0" applyFont="1" applyFill="1" applyAlignment="1">
      <alignment vertical="center"/>
    </xf>
    <xf numFmtId="0" fontId="33" fillId="7" borderId="0" xfId="0" applyFont="1" applyFill="1" applyAlignment="1">
      <alignment vertical="center"/>
    </xf>
    <xf numFmtId="43" fontId="32" fillId="7" borderId="0" xfId="0" applyNumberFormat="1" applyFont="1" applyFill="1" applyAlignment="1">
      <alignment vertical="center"/>
    </xf>
    <xf numFmtId="3" fontId="0" fillId="0" borderId="0" xfId="0" applyNumberFormat="1"/>
    <xf numFmtId="43" fontId="31" fillId="0" borderId="0" xfId="1" applyNumberFormat="1" applyFont="1"/>
    <xf numFmtId="43" fontId="31" fillId="0" borderId="0" xfId="0" applyNumberFormat="1" applyFont="1"/>
    <xf numFmtId="0" fontId="2" fillId="0" borderId="13" xfId="0" applyFont="1" applyBorder="1"/>
    <xf numFmtId="0" fontId="0" fillId="0" borderId="14" xfId="0" applyBorder="1"/>
    <xf numFmtId="0" fontId="0" fillId="0" borderId="15" xfId="0" applyBorder="1"/>
    <xf numFmtId="0" fontId="11" fillId="0" borderId="16" xfId="0" applyFont="1" applyBorder="1" applyAlignment="1">
      <alignment horizontal="left" vertical="center"/>
    </xf>
    <xf numFmtId="0" fontId="0" fillId="0" borderId="17" xfId="0" applyBorder="1"/>
    <xf numFmtId="0" fontId="0" fillId="0" borderId="16" xfId="0" applyBorder="1"/>
    <xf numFmtId="0" fontId="36" fillId="8" borderId="19" xfId="0" applyFont="1" applyFill="1" applyBorder="1" applyAlignment="1">
      <alignment horizontal="center"/>
    </xf>
    <xf numFmtId="0" fontId="36" fillId="8" borderId="20" xfId="0" applyFont="1" applyFill="1" applyBorder="1" applyAlignment="1">
      <alignment horizontal="center"/>
    </xf>
    <xf numFmtId="0" fontId="24" fillId="9" borderId="19" xfId="0" applyFont="1" applyFill="1" applyBorder="1"/>
    <xf numFmtId="44" fontId="23" fillId="9" borderId="20" xfId="1" applyFont="1" applyFill="1" applyBorder="1"/>
    <xf numFmtId="0" fontId="25" fillId="9" borderId="19" xfId="0" applyFont="1" applyFill="1" applyBorder="1"/>
    <xf numFmtId="44" fontId="26" fillId="9" borderId="20" xfId="1" applyFont="1" applyFill="1" applyBorder="1"/>
    <xf numFmtId="0" fontId="28" fillId="0" borderId="19" xfId="0" applyFont="1" applyBorder="1"/>
    <xf numFmtId="44" fontId="28" fillId="0" borderId="20" xfId="1" applyFont="1" applyBorder="1"/>
    <xf numFmtId="44" fontId="11" fillId="0" borderId="1" xfId="1" applyFont="1" applyFill="1" applyBorder="1"/>
    <xf numFmtId="44" fontId="0" fillId="0" borderId="0" xfId="1" applyFont="1" applyFill="1"/>
    <xf numFmtId="44" fontId="0" fillId="0" borderId="5" xfId="1" applyFont="1" applyFill="1" applyBorder="1"/>
    <xf numFmtId="0" fontId="21" fillId="0" borderId="0" xfId="0" applyFont="1"/>
    <xf numFmtId="16" fontId="0" fillId="0" borderId="0" xfId="0" applyNumberFormat="1"/>
    <xf numFmtId="0" fontId="37" fillId="0" borderId="0" xfId="0" applyFont="1"/>
    <xf numFmtId="44" fontId="11" fillId="0" borderId="0" xfId="0" applyNumberFormat="1" applyFont="1"/>
    <xf numFmtId="16" fontId="37" fillId="0" borderId="0" xfId="0" applyNumberFormat="1" applyFont="1"/>
    <xf numFmtId="0" fontId="11" fillId="0" borderId="0" xfId="0" applyFont="1"/>
    <xf numFmtId="44" fontId="16" fillId="0" borderId="1" xfId="0" applyNumberFormat="1" applyFont="1" applyBorder="1"/>
    <xf numFmtId="44" fontId="11" fillId="0" borderId="1" xfId="0" applyNumberFormat="1" applyFont="1" applyBorder="1"/>
    <xf numFmtId="44" fontId="0" fillId="0" borderId="5" xfId="0" applyNumberFormat="1" applyBorder="1"/>
    <xf numFmtId="14" fontId="0" fillId="0" borderId="0" xfId="0" applyNumberFormat="1" applyAlignment="1">
      <alignment horizontal="center"/>
    </xf>
    <xf numFmtId="14" fontId="11" fillId="0" borderId="0" xfId="0" applyNumberFormat="1" applyFont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22" fillId="2" borderId="11" xfId="0" applyFont="1" applyFill="1" applyBorder="1" applyAlignment="1">
      <alignment horizontal="center"/>
    </xf>
    <xf numFmtId="0" fontId="27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10" borderId="0" xfId="0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11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1" fontId="3" fillId="0" borderId="0" xfId="0" applyNumberFormat="1" applyFont="1"/>
    <xf numFmtId="3" fontId="3" fillId="0" borderId="0" xfId="0" applyNumberFormat="1" applyFont="1"/>
    <xf numFmtId="0" fontId="13" fillId="0" borderId="1" xfId="0" applyFont="1" applyBorder="1"/>
    <xf numFmtId="4" fontId="13" fillId="0" borderId="1" xfId="0" applyNumberFormat="1" applyFont="1" applyBorder="1"/>
    <xf numFmtId="44" fontId="11" fillId="0" borderId="3" xfId="0" applyNumberFormat="1" applyFont="1" applyBorder="1"/>
    <xf numFmtId="44" fontId="11" fillId="0" borderId="14" xfId="0" applyNumberFormat="1" applyFont="1" applyBorder="1"/>
    <xf numFmtId="44" fontId="11" fillId="0" borderId="5" xfId="0" applyNumberFormat="1" applyFont="1" applyBorder="1"/>
    <xf numFmtId="44" fontId="11" fillId="0" borderId="10" xfId="0" applyNumberFormat="1" applyFont="1" applyBorder="1"/>
    <xf numFmtId="44" fontId="11" fillId="0" borderId="4" xfId="0" applyNumberFormat="1" applyFont="1" applyBorder="1"/>
    <xf numFmtId="44" fontId="11" fillId="0" borderId="12" xfId="0" applyNumberFormat="1" applyFont="1" applyBorder="1"/>
    <xf numFmtId="44" fontId="11" fillId="0" borderId="18" xfId="0" applyNumberFormat="1" applyFont="1" applyBorder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</dxfs>
  <tableStyles count="3" defaultTableStyle="TableStyleMedium9" defaultPivotStyle="PivotStyleLight16">
    <tableStyle name="Planilha1-style" pivot="0" count="4" xr9:uid="{448CAB95-F8D1-485E-818C-1C56D9417A7B}">
      <tableStyleElement type="headerRow" dxfId="14"/>
      <tableStyleElement type="totalRow" dxfId="13"/>
      <tableStyleElement type="firstRowStripe" dxfId="12"/>
      <tableStyleElement type="secondRowStripe" dxfId="11"/>
    </tableStyle>
    <tableStyle name="Planilha1-style 2" pivot="0" count="4" xr9:uid="{6C6A6E89-8652-4084-B465-8714EB0AFAE6}">
      <tableStyleElement type="headerRow" dxfId="10"/>
      <tableStyleElement type="totalRow" dxfId="9"/>
      <tableStyleElement type="firstRowStripe" dxfId="8"/>
      <tableStyleElement type="secondRowStripe" dxfId="7"/>
    </tableStyle>
    <tableStyle name="Planilha1-style 3" pivot="0" count="4" xr9:uid="{B2E374BE-581E-4829-97A8-33E53828B91D}">
      <tableStyleElement type="headerRow" dxfId="6"/>
      <tableStyleElement type="totalRow" dxfId="5"/>
      <tableStyleElement type="firstRowStripe" dxfId="4"/>
      <tableStyleElement type="secondRowStripe" dxfId="3"/>
    </tableStyle>
  </tableStyles>
  <colors>
    <mruColors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FA8B5D-B8E5-4199-A9E7-5D995551ADDB}" name="Tabela23" displayName="Tabela23" ref="C97:E104" totalsRowShown="0" headerRowDxfId="2">
  <tableColumns count="3">
    <tableColumn id="1" xr3:uid="{5B251CC9-1628-4508-A5EF-323D44ADD3F4}" name="Pró-Labore" dataDxfId="1"/>
    <tableColumn id="2" xr3:uid="{2EDF98A8-7D48-4C2C-B217-9410C320FA55}" name="Valor" dataDxfId="0" dataCellStyle="Moeda"/>
    <tableColumn id="3" xr3:uid="{8528E7E3-F10D-4668-AC4D-C70CC6D05869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5"/>
  <sheetViews>
    <sheetView topLeftCell="A48" zoomScale="130" zoomScaleNormal="130" workbookViewId="0">
      <selection activeCell="C36" sqref="C36"/>
    </sheetView>
  </sheetViews>
  <sheetFormatPr defaultRowHeight="15" customHeight="1"/>
  <cols>
    <col min="1" max="1" width="3.28515625" customWidth="1"/>
    <col min="2" max="2" width="11" customWidth="1"/>
    <col min="3" max="3" width="37.42578125" customWidth="1"/>
    <col min="4" max="4" width="22.28515625" customWidth="1"/>
  </cols>
  <sheetData>
    <row r="1" spans="2:8" ht="14.45">
      <c r="B1" s="1" t="s">
        <v>0</v>
      </c>
      <c r="C1" s="1" t="s">
        <v>1</v>
      </c>
      <c r="D1" s="1" t="s">
        <v>2</v>
      </c>
    </row>
    <row r="2" spans="2:8" ht="14.45">
      <c r="B2" s="12" t="s">
        <v>3</v>
      </c>
      <c r="C2" s="1" t="s">
        <v>4</v>
      </c>
      <c r="D2" s="1" t="s">
        <v>5</v>
      </c>
    </row>
    <row r="3" spans="2:8" ht="15.6">
      <c r="B3" s="2" t="s">
        <v>6</v>
      </c>
      <c r="C3" t="s">
        <v>7</v>
      </c>
      <c r="D3" t="s">
        <v>5</v>
      </c>
      <c r="H3" s="3"/>
    </row>
    <row r="4" spans="2:8" ht="14.45">
      <c r="B4" s="2" t="s">
        <v>8</v>
      </c>
      <c r="C4" t="s">
        <v>9</v>
      </c>
      <c r="D4" t="s">
        <v>5</v>
      </c>
      <c r="H4" s="5"/>
    </row>
    <row r="5" spans="2:8" ht="14.45">
      <c r="B5" s="2" t="s">
        <v>10</v>
      </c>
      <c r="C5" t="s">
        <v>11</v>
      </c>
      <c r="D5" t="s">
        <v>12</v>
      </c>
      <c r="H5" s="4"/>
    </row>
    <row r="6" spans="2:8" ht="14.45">
      <c r="B6" s="2" t="s">
        <v>13</v>
      </c>
      <c r="C6" t="s">
        <v>14</v>
      </c>
      <c r="D6" t="s">
        <v>12</v>
      </c>
      <c r="H6" s="6"/>
    </row>
    <row r="7" spans="2:8" ht="14.45">
      <c r="B7" t="s">
        <v>15</v>
      </c>
      <c r="C7" t="s">
        <v>16</v>
      </c>
      <c r="D7" t="s">
        <v>12</v>
      </c>
      <c r="H7" s="8"/>
    </row>
    <row r="8" spans="2:8" ht="14.45">
      <c r="B8" t="s">
        <v>15</v>
      </c>
      <c r="C8" t="s">
        <v>17</v>
      </c>
      <c r="D8" t="s">
        <v>18</v>
      </c>
      <c r="E8" s="13" t="s">
        <v>19</v>
      </c>
      <c r="H8" s="4"/>
    </row>
    <row r="9" spans="2:8" ht="14.45">
      <c r="B9" s="12" t="s">
        <v>20</v>
      </c>
      <c r="C9" s="12" t="s">
        <v>21</v>
      </c>
      <c r="D9" t="s">
        <v>22</v>
      </c>
      <c r="E9" s="13"/>
      <c r="H9" s="4"/>
    </row>
    <row r="10" spans="2:8" ht="14.45">
      <c r="B10" s="2" t="s">
        <v>23</v>
      </c>
      <c r="C10" t="s">
        <v>24</v>
      </c>
      <c r="D10" t="s">
        <v>22</v>
      </c>
      <c r="E10" s="13" t="s">
        <v>25</v>
      </c>
      <c r="H10" s="4"/>
    </row>
    <row r="11" spans="2:8" ht="14.45">
      <c r="B11" s="2" t="s">
        <v>26</v>
      </c>
      <c r="C11" t="s">
        <v>27</v>
      </c>
      <c r="D11" t="s">
        <v>22</v>
      </c>
      <c r="E11" s="14"/>
      <c r="H11" s="4"/>
    </row>
    <row r="12" spans="2:8" ht="14.45">
      <c r="B12" s="2" t="s">
        <v>28</v>
      </c>
      <c r="C12" t="s">
        <v>29</v>
      </c>
      <c r="D12" t="s">
        <v>22</v>
      </c>
      <c r="E12" s="14"/>
      <c r="H12" s="4"/>
    </row>
    <row r="13" spans="2:8" ht="14.45">
      <c r="B13" s="2" t="s">
        <v>30</v>
      </c>
      <c r="C13" t="s">
        <v>31</v>
      </c>
      <c r="D13" t="s">
        <v>22</v>
      </c>
      <c r="E13" s="14"/>
      <c r="H13" s="4"/>
    </row>
    <row r="14" spans="2:8" ht="14.45">
      <c r="B14" s="2" t="s">
        <v>32</v>
      </c>
      <c r="C14" t="s">
        <v>33</v>
      </c>
      <c r="D14" t="s">
        <v>22</v>
      </c>
      <c r="E14" s="14"/>
      <c r="H14" s="4"/>
    </row>
    <row r="15" spans="2:8" ht="14.45">
      <c r="B15" s="2" t="s">
        <v>34</v>
      </c>
      <c r="C15" t="s">
        <v>35</v>
      </c>
      <c r="D15" t="s">
        <v>22</v>
      </c>
      <c r="E15" s="14"/>
      <c r="H15" s="4"/>
    </row>
    <row r="16" spans="2:8" ht="14.45">
      <c r="B16" s="2" t="s">
        <v>36</v>
      </c>
      <c r="C16" t="s">
        <v>37</v>
      </c>
      <c r="D16" t="s">
        <v>22</v>
      </c>
      <c r="E16" s="15"/>
      <c r="H16" s="4"/>
    </row>
    <row r="17" spans="2:8" ht="14.45">
      <c r="B17" s="2" t="s">
        <v>38</v>
      </c>
      <c r="C17" t="s">
        <v>39</v>
      </c>
      <c r="D17" t="s">
        <v>22</v>
      </c>
      <c r="E17" s="13" t="s">
        <v>40</v>
      </c>
      <c r="H17" s="4"/>
    </row>
    <row r="18" spans="2:8" ht="14.45">
      <c r="B18" s="2" t="s">
        <v>41</v>
      </c>
      <c r="C18" t="s">
        <v>42</v>
      </c>
      <c r="D18" t="s">
        <v>22</v>
      </c>
      <c r="E18" s="13"/>
      <c r="H18" s="4"/>
    </row>
    <row r="19" spans="2:8" ht="14.45">
      <c r="B19" s="2" t="s">
        <v>43</v>
      </c>
      <c r="C19" t="s">
        <v>44</v>
      </c>
      <c r="D19" t="s">
        <v>22</v>
      </c>
      <c r="H19" s="4"/>
    </row>
    <row r="20" spans="2:8" ht="14.45">
      <c r="B20" s="2" t="s">
        <v>45</v>
      </c>
      <c r="C20" t="s">
        <v>46</v>
      </c>
      <c r="D20" t="s">
        <v>22</v>
      </c>
      <c r="H20" s="4"/>
    </row>
    <row r="21" spans="2:8" ht="14.45">
      <c r="B21" s="2" t="s">
        <v>47</v>
      </c>
      <c r="C21" t="s">
        <v>48</v>
      </c>
      <c r="D21" t="s">
        <v>22</v>
      </c>
      <c r="E21" s="7"/>
      <c r="H21" s="4"/>
    </row>
    <row r="22" spans="2:8" ht="14.45">
      <c r="B22" s="2" t="s">
        <v>49</v>
      </c>
      <c r="C22" t="s">
        <v>50</v>
      </c>
      <c r="D22" t="s">
        <v>51</v>
      </c>
      <c r="H22" s="4"/>
    </row>
    <row r="23" spans="2:8" ht="14.45">
      <c r="B23" s="2" t="s">
        <v>52</v>
      </c>
      <c r="C23" t="s">
        <v>53</v>
      </c>
      <c r="D23" t="s">
        <v>51</v>
      </c>
      <c r="E23" s="7"/>
      <c r="H23" s="4"/>
    </row>
    <row r="24" spans="2:8" ht="14.45">
      <c r="B24" s="12" t="s">
        <v>54</v>
      </c>
      <c r="C24" s="11" t="s">
        <v>55</v>
      </c>
      <c r="D24" t="s">
        <v>56</v>
      </c>
      <c r="H24" s="4"/>
    </row>
    <row r="25" spans="2:8" ht="14.45">
      <c r="B25" s="2" t="s">
        <v>57</v>
      </c>
      <c r="C25" t="s">
        <v>58</v>
      </c>
      <c r="D25" t="s">
        <v>56</v>
      </c>
      <c r="H25" s="4"/>
    </row>
    <row r="26" spans="2:8" ht="15.6">
      <c r="B26" t="s">
        <v>59</v>
      </c>
      <c r="C26" t="s">
        <v>60</v>
      </c>
      <c r="D26" t="s">
        <v>56</v>
      </c>
      <c r="E26" s="3"/>
      <c r="H26" s="5"/>
    </row>
    <row r="27" spans="2:8" ht="14.45">
      <c r="B27" t="s">
        <v>61</v>
      </c>
      <c r="C27" t="s">
        <v>62</v>
      </c>
      <c r="D27" t="s">
        <v>56</v>
      </c>
      <c r="E27" s="4"/>
      <c r="H27" s="4"/>
    </row>
    <row r="28" spans="2:8" ht="14.45">
      <c r="B28" t="s">
        <v>63</v>
      </c>
      <c r="C28" s="28" t="s">
        <v>64</v>
      </c>
      <c r="D28" t="s">
        <v>56</v>
      </c>
      <c r="E28" s="4"/>
      <c r="F28" s="28"/>
      <c r="H28" s="4"/>
    </row>
    <row r="29" spans="2:8" ht="14.45">
      <c r="B29" t="s">
        <v>65</v>
      </c>
      <c r="C29" s="28" t="s">
        <v>66</v>
      </c>
      <c r="D29" t="s">
        <v>56</v>
      </c>
      <c r="E29" s="4"/>
      <c r="F29" s="28"/>
      <c r="H29" s="4"/>
    </row>
    <row r="30" spans="2:8" ht="14.45">
      <c r="B30" t="s">
        <v>67</v>
      </c>
      <c r="C30" t="s">
        <v>68</v>
      </c>
      <c r="D30" t="s">
        <v>56</v>
      </c>
      <c r="H30" s="4"/>
    </row>
    <row r="31" spans="2:8" ht="14.45">
      <c r="B31" s="12" t="s">
        <v>69</v>
      </c>
      <c r="C31" s="11" t="s">
        <v>70</v>
      </c>
      <c r="D31" t="s">
        <v>71</v>
      </c>
      <c r="E31" s="4"/>
      <c r="H31" s="6"/>
    </row>
    <row r="32" spans="2:8" ht="14.45">
      <c r="B32" t="s">
        <v>72</v>
      </c>
      <c r="C32" t="s">
        <v>73</v>
      </c>
      <c r="D32" t="s">
        <v>71</v>
      </c>
      <c r="H32" s="8"/>
    </row>
    <row r="33" spans="2:8" ht="14.45">
      <c r="B33" t="s">
        <v>74</v>
      </c>
      <c r="C33" t="s">
        <v>75</v>
      </c>
      <c r="D33" t="s">
        <v>71</v>
      </c>
      <c r="H33" s="8"/>
    </row>
    <row r="34" spans="2:8" ht="14.45">
      <c r="B34" t="s">
        <v>76</v>
      </c>
      <c r="C34" t="s">
        <v>77</v>
      </c>
      <c r="D34" t="s">
        <v>71</v>
      </c>
      <c r="E34" s="4"/>
      <c r="H34" s="7"/>
    </row>
    <row r="35" spans="2:8" ht="14.45">
      <c r="B35" t="s">
        <v>78</v>
      </c>
      <c r="C35" t="s">
        <v>79</v>
      </c>
      <c r="D35" t="s">
        <v>71</v>
      </c>
      <c r="E35" s="4"/>
      <c r="H35" s="7"/>
    </row>
    <row r="36" spans="2:8" ht="14.45">
      <c r="B36" t="s">
        <v>80</v>
      </c>
      <c r="C36" t="s">
        <v>81</v>
      </c>
      <c r="D36" t="s">
        <v>71</v>
      </c>
      <c r="E36" s="6"/>
      <c r="H36" s="8"/>
    </row>
    <row r="37" spans="2:8" ht="14.45">
      <c r="B37" t="s">
        <v>82</v>
      </c>
      <c r="C37" t="s">
        <v>83</v>
      </c>
      <c r="D37" t="s">
        <v>71</v>
      </c>
      <c r="H37" s="10"/>
    </row>
    <row r="38" spans="2:8" ht="14.45">
      <c r="B38" t="s">
        <v>84</v>
      </c>
      <c r="C38" t="s">
        <v>85</v>
      </c>
      <c r="D38" t="s">
        <v>71</v>
      </c>
      <c r="E38" s="7"/>
      <c r="H38" s="9"/>
    </row>
    <row r="39" spans="2:8" ht="14.45">
      <c r="B39" t="s">
        <v>86</v>
      </c>
      <c r="C39" t="s">
        <v>87</v>
      </c>
      <c r="D39" t="s">
        <v>71</v>
      </c>
      <c r="E39" s="7"/>
      <c r="H39" s="9"/>
    </row>
    <row r="40" spans="2:8" ht="14.45">
      <c r="B40" t="s">
        <v>88</v>
      </c>
      <c r="C40" t="s">
        <v>89</v>
      </c>
      <c r="D40" t="s">
        <v>71</v>
      </c>
      <c r="E40" s="7"/>
      <c r="H40" s="9"/>
    </row>
    <row r="41" spans="2:8" ht="14.45">
      <c r="B41" t="s">
        <v>90</v>
      </c>
      <c r="C41" t="s">
        <v>91</v>
      </c>
      <c r="D41" t="s">
        <v>71</v>
      </c>
      <c r="H41" s="9"/>
    </row>
    <row r="42" spans="2:8" ht="14.45">
      <c r="B42" t="s">
        <v>92</v>
      </c>
      <c r="C42" t="s">
        <v>93</v>
      </c>
      <c r="D42" t="s">
        <v>71</v>
      </c>
      <c r="H42" s="9"/>
    </row>
    <row r="43" spans="2:8" ht="14.45">
      <c r="B43" t="s">
        <v>94</v>
      </c>
      <c r="C43" t="s">
        <v>95</v>
      </c>
      <c r="D43" t="s">
        <v>71</v>
      </c>
      <c r="H43" s="9"/>
    </row>
    <row r="44" spans="2:8" ht="14.45">
      <c r="B44" s="12" t="s">
        <v>96</v>
      </c>
      <c r="C44" s="11" t="s">
        <v>97</v>
      </c>
      <c r="D44" t="s">
        <v>71</v>
      </c>
      <c r="E44" s="7"/>
      <c r="H44" s="9"/>
    </row>
    <row r="45" spans="2:8" ht="14.45">
      <c r="B45" t="s">
        <v>98</v>
      </c>
      <c r="C45" t="s">
        <v>99</v>
      </c>
      <c r="D45" t="s">
        <v>71</v>
      </c>
    </row>
    <row r="46" spans="2:8" ht="14.45">
      <c r="B46" t="s">
        <v>100</v>
      </c>
      <c r="C46" t="s">
        <v>101</v>
      </c>
      <c r="D46" t="s">
        <v>71</v>
      </c>
    </row>
    <row r="47" spans="2:8" ht="14.45">
      <c r="B47" t="s">
        <v>102</v>
      </c>
      <c r="C47" t="s">
        <v>103</v>
      </c>
      <c r="D47" t="s">
        <v>71</v>
      </c>
    </row>
    <row r="48" spans="2:8" ht="14.45">
      <c r="B48" t="s">
        <v>104</v>
      </c>
      <c r="C48" t="s">
        <v>105</v>
      </c>
      <c r="D48" t="s">
        <v>71</v>
      </c>
    </row>
    <row r="49" spans="2:8" ht="14.45">
      <c r="B49" t="s">
        <v>106</v>
      </c>
      <c r="C49" t="s">
        <v>107</v>
      </c>
      <c r="D49" t="s">
        <v>71</v>
      </c>
    </row>
    <row r="50" spans="2:8" ht="14.45">
      <c r="B50" t="s">
        <v>108</v>
      </c>
      <c r="C50" t="s">
        <v>109</v>
      </c>
      <c r="D50" t="s">
        <v>71</v>
      </c>
      <c r="E50" s="4"/>
    </row>
    <row r="51" spans="2:8" ht="14.45">
      <c r="B51" t="s">
        <v>110</v>
      </c>
      <c r="C51" t="s">
        <v>111</v>
      </c>
      <c r="D51" t="s">
        <v>71</v>
      </c>
      <c r="E51" s="4"/>
    </row>
    <row r="52" spans="2:8" ht="14.45">
      <c r="B52" t="s">
        <v>112</v>
      </c>
      <c r="C52" t="s">
        <v>113</v>
      </c>
      <c r="D52" t="s">
        <v>71</v>
      </c>
    </row>
    <row r="53" spans="2:8" ht="14.45">
      <c r="B53" s="12" t="s">
        <v>114</v>
      </c>
      <c r="C53" s="12" t="s">
        <v>115</v>
      </c>
      <c r="D53" t="s">
        <v>71</v>
      </c>
    </row>
    <row r="54" spans="2:8" ht="14.45">
      <c r="B54" t="s">
        <v>116</v>
      </c>
      <c r="C54" t="s">
        <v>117</v>
      </c>
      <c r="D54" t="s">
        <v>71</v>
      </c>
    </row>
    <row r="55" spans="2:8" ht="14.45">
      <c r="B55" s="12" t="s">
        <v>118</v>
      </c>
      <c r="C55" s="12" t="s">
        <v>119</v>
      </c>
      <c r="D55" t="s">
        <v>120</v>
      </c>
      <c r="H55" s="8"/>
    </row>
    <row r="56" spans="2:8" ht="14.45">
      <c r="B56" t="s">
        <v>121</v>
      </c>
      <c r="C56" t="s">
        <v>122</v>
      </c>
      <c r="D56" t="s">
        <v>120</v>
      </c>
      <c r="H56" s="7"/>
    </row>
    <row r="57" spans="2:8" ht="14.45">
      <c r="B57" t="s">
        <v>123</v>
      </c>
      <c r="C57" s="2" t="s">
        <v>124</v>
      </c>
      <c r="D57" t="s">
        <v>120</v>
      </c>
      <c r="H57" s="8"/>
    </row>
    <row r="58" spans="2:8" ht="14.45">
      <c r="B58" t="s">
        <v>125</v>
      </c>
      <c r="C58" t="s">
        <v>126</v>
      </c>
      <c r="D58" t="s">
        <v>120</v>
      </c>
      <c r="H58" s="10"/>
    </row>
    <row r="59" spans="2:8" ht="14.45">
      <c r="B59" t="s">
        <v>127</v>
      </c>
      <c r="C59" t="s">
        <v>128</v>
      </c>
      <c r="D59" t="s">
        <v>120</v>
      </c>
      <c r="H59" s="9"/>
    </row>
    <row r="60" spans="2:8" ht="14.45">
      <c r="B60" t="s">
        <v>129</v>
      </c>
      <c r="C60" t="s">
        <v>130</v>
      </c>
      <c r="D60" t="s">
        <v>120</v>
      </c>
      <c r="H60" s="10"/>
    </row>
    <row r="61" spans="2:8" ht="14.45">
      <c r="B61" t="s">
        <v>131</v>
      </c>
      <c r="C61" t="s">
        <v>132</v>
      </c>
      <c r="D61" t="s">
        <v>120</v>
      </c>
      <c r="H61" s="9"/>
    </row>
    <row r="62" spans="2:8" ht="14.45">
      <c r="B62" t="s">
        <v>133</v>
      </c>
      <c r="C62" t="s">
        <v>134</v>
      </c>
      <c r="D62" t="s">
        <v>120</v>
      </c>
      <c r="H62" s="10"/>
    </row>
    <row r="63" spans="2:8" ht="15" customHeight="1">
      <c r="B63" t="s">
        <v>135</v>
      </c>
      <c r="C63" t="s">
        <v>136</v>
      </c>
      <c r="D63" t="s">
        <v>120</v>
      </c>
    </row>
    <row r="64" spans="2:8" ht="15" customHeight="1">
      <c r="B64" s="12" t="s">
        <v>137</v>
      </c>
      <c r="C64" s="12" t="s">
        <v>138</v>
      </c>
      <c r="D64" t="s">
        <v>120</v>
      </c>
    </row>
    <row r="65" spans="2:4" ht="15" customHeight="1">
      <c r="B65" t="s">
        <v>139</v>
      </c>
      <c r="C65" t="s">
        <v>46</v>
      </c>
      <c r="D65" t="s">
        <v>120</v>
      </c>
    </row>
  </sheetData>
  <phoneticPr fontId="1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1"/>
  <sheetViews>
    <sheetView zoomScale="115" zoomScaleNormal="115" workbookViewId="0">
      <pane ySplit="1" topLeftCell="C144" activePane="bottomLeft" state="frozen"/>
      <selection pane="bottomLeft" activeCell="M164" sqref="M164"/>
      <selection activeCell="B1" sqref="B1"/>
    </sheetView>
  </sheetViews>
  <sheetFormatPr defaultRowHeight="15" customHeight="1"/>
  <cols>
    <col min="1" max="1" width="11.28515625" customWidth="1"/>
    <col min="2" max="2" width="34.85546875" customWidth="1"/>
    <col min="3" max="3" width="37.7109375" customWidth="1"/>
    <col min="4" max="4" width="33.5703125" customWidth="1"/>
    <col min="5" max="5" width="18" bestFit="1" customWidth="1"/>
    <col min="6" max="6" width="10.42578125" bestFit="1" customWidth="1"/>
    <col min="7" max="9" width="10.42578125" customWidth="1"/>
    <col min="10" max="10" width="13.7109375" bestFit="1" customWidth="1"/>
    <col min="11" max="11" width="15.5703125" bestFit="1" customWidth="1"/>
    <col min="15" max="15" width="22.570312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</row>
    <row r="2" spans="1:5">
      <c r="A2" s="95">
        <v>45663</v>
      </c>
      <c r="B2" t="s">
        <v>145</v>
      </c>
      <c r="C2" t="s">
        <v>7</v>
      </c>
      <c r="D2" t="s">
        <v>50</v>
      </c>
      <c r="E2" s="16">
        <v>70000</v>
      </c>
    </row>
    <row r="3" spans="1:5">
      <c r="A3" s="95">
        <v>45663</v>
      </c>
      <c r="B3" t="s">
        <v>146</v>
      </c>
      <c r="C3" t="s">
        <v>81</v>
      </c>
      <c r="D3" t="s">
        <v>7</v>
      </c>
      <c r="E3" s="16">
        <v>243.56</v>
      </c>
    </row>
    <row r="4" spans="1:5">
      <c r="A4" s="95">
        <v>45663</v>
      </c>
      <c r="B4" t="s">
        <v>147</v>
      </c>
      <c r="C4" t="s">
        <v>81</v>
      </c>
      <c r="D4" t="s">
        <v>7</v>
      </c>
      <c r="E4" s="16">
        <v>358</v>
      </c>
    </row>
    <row r="5" spans="1:5">
      <c r="A5" s="95">
        <v>45663</v>
      </c>
      <c r="B5" t="s">
        <v>148</v>
      </c>
      <c r="C5" t="s">
        <v>87</v>
      </c>
      <c r="D5" t="s">
        <v>7</v>
      </c>
      <c r="E5" s="16">
        <v>288</v>
      </c>
    </row>
    <row r="6" spans="1:5">
      <c r="A6" s="95">
        <v>45663</v>
      </c>
      <c r="B6" t="s">
        <v>149</v>
      </c>
      <c r="C6" t="s">
        <v>81</v>
      </c>
      <c r="D6" t="s">
        <v>7</v>
      </c>
      <c r="E6" s="16">
        <v>128.56</v>
      </c>
    </row>
    <row r="7" spans="1:5">
      <c r="A7" s="95">
        <v>45664</v>
      </c>
      <c r="B7" t="s">
        <v>150</v>
      </c>
      <c r="C7" t="s">
        <v>151</v>
      </c>
      <c r="D7" t="s">
        <v>7</v>
      </c>
      <c r="E7" s="16">
        <v>120</v>
      </c>
    </row>
    <row r="8" spans="1:5">
      <c r="A8" s="95">
        <v>45664</v>
      </c>
      <c r="B8" t="s">
        <v>152</v>
      </c>
      <c r="C8" t="s">
        <v>83</v>
      </c>
      <c r="D8" t="s">
        <v>7</v>
      </c>
      <c r="E8" s="16">
        <v>250</v>
      </c>
    </row>
    <row r="9" spans="1:5">
      <c r="A9" s="95">
        <v>45665</v>
      </c>
      <c r="B9" t="s">
        <v>153</v>
      </c>
      <c r="C9" t="s">
        <v>154</v>
      </c>
      <c r="D9" t="s">
        <v>7</v>
      </c>
      <c r="E9" s="16">
        <v>212</v>
      </c>
    </row>
    <row r="10" spans="1:5">
      <c r="A10" s="95">
        <v>45666</v>
      </c>
      <c r="B10" t="s">
        <v>155</v>
      </c>
      <c r="C10" t="s">
        <v>16</v>
      </c>
      <c r="D10" t="s">
        <v>27</v>
      </c>
      <c r="E10" s="16">
        <v>8298</v>
      </c>
    </row>
    <row r="11" spans="1:5">
      <c r="A11" s="95">
        <v>45666</v>
      </c>
      <c r="B11" t="s">
        <v>156</v>
      </c>
      <c r="C11" t="s">
        <v>27</v>
      </c>
      <c r="D11" t="s">
        <v>7</v>
      </c>
      <c r="E11" s="16">
        <v>553.20000000000005</v>
      </c>
    </row>
    <row r="12" spans="1:5">
      <c r="A12" s="95">
        <v>45666</v>
      </c>
      <c r="B12" t="s">
        <v>157</v>
      </c>
      <c r="C12" t="s">
        <v>109</v>
      </c>
      <c r="D12" t="s">
        <v>7</v>
      </c>
      <c r="E12" s="16">
        <v>91</v>
      </c>
    </row>
    <row r="13" spans="1:5">
      <c r="A13" s="95">
        <v>45666</v>
      </c>
      <c r="B13" t="s">
        <v>158</v>
      </c>
      <c r="C13" t="s">
        <v>111</v>
      </c>
      <c r="D13" t="s">
        <v>7</v>
      </c>
      <c r="E13" s="16">
        <v>150</v>
      </c>
    </row>
    <row r="14" spans="1:5">
      <c r="A14" s="95">
        <v>45667</v>
      </c>
      <c r="B14" t="s">
        <v>159</v>
      </c>
      <c r="C14" t="s">
        <v>14</v>
      </c>
      <c r="D14" t="s">
        <v>27</v>
      </c>
      <c r="E14" s="16">
        <v>7260</v>
      </c>
    </row>
    <row r="15" spans="1:5">
      <c r="A15" s="95">
        <v>45667</v>
      </c>
      <c r="B15" t="s">
        <v>160</v>
      </c>
      <c r="C15" t="s">
        <v>27</v>
      </c>
      <c r="D15" t="s">
        <v>7</v>
      </c>
      <c r="E15" s="16">
        <v>403.33</v>
      </c>
    </row>
    <row r="16" spans="1:5">
      <c r="A16" s="95">
        <v>45670</v>
      </c>
      <c r="B16" t="s">
        <v>161</v>
      </c>
      <c r="C16" t="s">
        <v>81</v>
      </c>
      <c r="D16" t="s">
        <v>7</v>
      </c>
      <c r="E16" s="16">
        <v>550</v>
      </c>
    </row>
    <row r="17" spans="1:13">
      <c r="A17" s="95">
        <v>45671</v>
      </c>
      <c r="B17" t="s">
        <v>162</v>
      </c>
      <c r="C17" s="32" t="s">
        <v>7</v>
      </c>
      <c r="D17" s="32" t="s">
        <v>58</v>
      </c>
      <c r="E17" s="16">
        <v>800</v>
      </c>
      <c r="L17" s="66"/>
    </row>
    <row r="18" spans="1:13">
      <c r="A18" s="95">
        <v>45671</v>
      </c>
      <c r="B18" t="s">
        <v>163</v>
      </c>
      <c r="C18" s="32" t="s">
        <v>7</v>
      </c>
      <c r="D18" s="32" t="s">
        <v>58</v>
      </c>
      <c r="E18" s="16">
        <v>1000</v>
      </c>
    </row>
    <row r="19" spans="1:13">
      <c r="A19" s="95">
        <v>45672</v>
      </c>
      <c r="B19" t="s">
        <v>164</v>
      </c>
      <c r="C19" t="s">
        <v>75</v>
      </c>
      <c r="D19" t="s">
        <v>7</v>
      </c>
      <c r="E19" s="16">
        <v>187.07</v>
      </c>
    </row>
    <row r="20" spans="1:13">
      <c r="A20" s="95">
        <v>45673</v>
      </c>
      <c r="B20" t="s">
        <v>165</v>
      </c>
      <c r="C20" s="32" t="s">
        <v>7</v>
      </c>
      <c r="D20" s="32" t="s">
        <v>60</v>
      </c>
      <c r="E20" s="16">
        <v>250</v>
      </c>
    </row>
    <row r="21" spans="1:13">
      <c r="A21" s="95">
        <v>45674</v>
      </c>
      <c r="B21" t="s">
        <v>166</v>
      </c>
      <c r="C21" s="32" t="s">
        <v>7</v>
      </c>
      <c r="D21" s="32" t="s">
        <v>60</v>
      </c>
      <c r="E21" s="16">
        <v>250</v>
      </c>
    </row>
    <row r="22" spans="1:13">
      <c r="A22" s="95">
        <v>45677</v>
      </c>
      <c r="B22" t="s">
        <v>167</v>
      </c>
      <c r="C22" t="s">
        <v>111</v>
      </c>
      <c r="D22" t="s">
        <v>7</v>
      </c>
      <c r="E22" s="16">
        <v>174</v>
      </c>
    </row>
    <row r="23" spans="1:13">
      <c r="A23" s="95">
        <v>45677</v>
      </c>
      <c r="B23" t="s">
        <v>167</v>
      </c>
      <c r="C23" t="s">
        <v>109</v>
      </c>
      <c r="D23" t="s">
        <v>7</v>
      </c>
      <c r="E23" s="16">
        <v>130</v>
      </c>
    </row>
    <row r="24" spans="1:13">
      <c r="A24" s="95">
        <v>45677</v>
      </c>
      <c r="B24" t="s">
        <v>168</v>
      </c>
      <c r="C24" t="s">
        <v>169</v>
      </c>
      <c r="D24" t="s">
        <v>7</v>
      </c>
      <c r="E24" s="16">
        <v>148.22999999999999</v>
      </c>
    </row>
    <row r="25" spans="1:13">
      <c r="A25" s="95">
        <v>45678</v>
      </c>
      <c r="B25" t="s">
        <v>170</v>
      </c>
      <c r="C25" s="32" t="s">
        <v>7</v>
      </c>
      <c r="D25" t="s">
        <v>68</v>
      </c>
      <c r="E25" s="16">
        <v>380</v>
      </c>
      <c r="M25" s="87"/>
    </row>
    <row r="26" spans="1:13">
      <c r="A26" s="95">
        <v>45679</v>
      </c>
      <c r="B26" t="s">
        <v>171</v>
      </c>
      <c r="C26" s="32" t="s">
        <v>7</v>
      </c>
      <c r="D26" t="s">
        <v>62</v>
      </c>
      <c r="E26" s="16">
        <v>600</v>
      </c>
    </row>
    <row r="27" spans="1:13">
      <c r="A27" s="95">
        <v>45680</v>
      </c>
      <c r="B27" t="s">
        <v>172</v>
      </c>
      <c r="C27" s="32" t="s">
        <v>7</v>
      </c>
      <c r="D27" t="s">
        <v>68</v>
      </c>
      <c r="E27" s="16">
        <v>380</v>
      </c>
    </row>
    <row r="28" spans="1:13">
      <c r="A28" s="95">
        <v>45680</v>
      </c>
      <c r="B28" t="s">
        <v>173</v>
      </c>
      <c r="C28" s="32" t="s">
        <v>7</v>
      </c>
      <c r="D28" s="32" t="s">
        <v>60</v>
      </c>
      <c r="E28" s="16">
        <v>250</v>
      </c>
      <c r="M28" s="87"/>
    </row>
    <row r="29" spans="1:13">
      <c r="A29" s="95">
        <v>45681</v>
      </c>
      <c r="B29" t="s">
        <v>174</v>
      </c>
      <c r="C29" s="32" t="s">
        <v>7</v>
      </c>
      <c r="D29" t="s">
        <v>68</v>
      </c>
      <c r="E29" s="16">
        <v>750</v>
      </c>
    </row>
    <row r="30" spans="1:13">
      <c r="A30" s="95">
        <v>45682</v>
      </c>
      <c r="B30" t="s">
        <v>175</v>
      </c>
      <c r="C30" s="32" t="s">
        <v>7</v>
      </c>
      <c r="D30" t="s">
        <v>68</v>
      </c>
      <c r="E30" s="16">
        <v>300</v>
      </c>
    </row>
    <row r="31" spans="1:13">
      <c r="A31" s="95">
        <v>45684</v>
      </c>
      <c r="B31" t="s">
        <v>176</v>
      </c>
      <c r="C31" t="s">
        <v>89</v>
      </c>
      <c r="D31" t="s">
        <v>44</v>
      </c>
      <c r="E31" s="16">
        <v>290</v>
      </c>
    </row>
    <row r="32" spans="1:13">
      <c r="A32" s="95">
        <v>45685</v>
      </c>
      <c r="B32" t="s">
        <v>177</v>
      </c>
      <c r="C32" s="32" t="s">
        <v>7</v>
      </c>
      <c r="D32" t="s">
        <v>62</v>
      </c>
      <c r="E32" s="16">
        <v>150</v>
      </c>
      <c r="L32" s="66"/>
      <c r="M32" s="87"/>
    </row>
    <row r="33" spans="1:13">
      <c r="A33" s="95">
        <v>45686</v>
      </c>
      <c r="B33" t="s">
        <v>178</v>
      </c>
      <c r="C33" s="32" t="s">
        <v>7</v>
      </c>
      <c r="D33" t="s">
        <v>62</v>
      </c>
      <c r="E33" s="16">
        <v>150</v>
      </c>
    </row>
    <row r="34" spans="1:13">
      <c r="A34" s="95">
        <v>45686</v>
      </c>
      <c r="B34" t="s">
        <v>179</v>
      </c>
      <c r="C34" s="32" t="s">
        <v>7</v>
      </c>
      <c r="D34" t="s">
        <v>68</v>
      </c>
      <c r="E34" s="16">
        <v>760</v>
      </c>
    </row>
    <row r="35" spans="1:13">
      <c r="A35" s="95">
        <v>45687</v>
      </c>
      <c r="B35" t="s">
        <v>179</v>
      </c>
      <c r="C35" s="32" t="s">
        <v>7</v>
      </c>
      <c r="D35" t="s">
        <v>68</v>
      </c>
      <c r="E35" s="16">
        <v>760</v>
      </c>
      <c r="M35" s="87"/>
    </row>
    <row r="36" spans="1:13">
      <c r="A36" s="95">
        <v>45687</v>
      </c>
      <c r="B36" t="s">
        <v>180</v>
      </c>
      <c r="C36" s="32" t="s">
        <v>7</v>
      </c>
      <c r="D36" s="32" t="s">
        <v>58</v>
      </c>
      <c r="E36" s="16">
        <v>1000</v>
      </c>
    </row>
    <row r="37" spans="1:13">
      <c r="A37" s="95">
        <v>45687</v>
      </c>
      <c r="B37" t="s">
        <v>181</v>
      </c>
      <c r="C37" t="s">
        <v>182</v>
      </c>
      <c r="D37" t="s">
        <v>7</v>
      </c>
      <c r="E37" s="16">
        <v>2500</v>
      </c>
    </row>
    <row r="38" spans="1:13">
      <c r="A38" s="95">
        <v>45688</v>
      </c>
      <c r="B38" t="s">
        <v>183</v>
      </c>
      <c r="C38" t="s">
        <v>99</v>
      </c>
      <c r="D38" t="s">
        <v>29</v>
      </c>
      <c r="E38" s="16">
        <v>700</v>
      </c>
    </row>
    <row r="39" spans="1:13">
      <c r="A39" s="95">
        <v>45688</v>
      </c>
      <c r="B39" t="s">
        <v>184</v>
      </c>
      <c r="C39" t="s">
        <v>107</v>
      </c>
      <c r="D39" t="s">
        <v>42</v>
      </c>
      <c r="E39" s="16">
        <v>1000</v>
      </c>
    </row>
    <row r="40" spans="1:13">
      <c r="A40" s="95">
        <v>45688</v>
      </c>
      <c r="B40" t="s">
        <v>185</v>
      </c>
      <c r="C40" t="s">
        <v>105</v>
      </c>
      <c r="D40" t="s">
        <v>37</v>
      </c>
      <c r="E40" s="16">
        <v>56</v>
      </c>
      <c r="M40" s="87"/>
    </row>
    <row r="41" spans="1:13">
      <c r="A41" s="95">
        <v>45688</v>
      </c>
      <c r="B41" t="s">
        <v>186</v>
      </c>
      <c r="C41" t="s">
        <v>29</v>
      </c>
      <c r="D41" t="s">
        <v>39</v>
      </c>
      <c r="E41" s="16">
        <v>117.96</v>
      </c>
      <c r="F41" s="16"/>
      <c r="G41" s="16"/>
      <c r="H41" s="16"/>
      <c r="I41" s="16"/>
    </row>
    <row r="42" spans="1:13">
      <c r="A42" s="95">
        <v>45688</v>
      </c>
      <c r="B42" t="s">
        <v>187</v>
      </c>
      <c r="C42" t="s">
        <v>42</v>
      </c>
      <c r="D42" t="s">
        <v>39</v>
      </c>
      <c r="E42" s="16">
        <v>110</v>
      </c>
      <c r="F42" s="16"/>
      <c r="G42" s="16"/>
      <c r="H42" s="16"/>
      <c r="I42" s="16"/>
    </row>
    <row r="43" spans="1:13">
      <c r="A43" s="95">
        <v>45688</v>
      </c>
      <c r="B43" t="s">
        <v>188</v>
      </c>
      <c r="C43" t="s">
        <v>29</v>
      </c>
      <c r="D43" t="s">
        <v>31</v>
      </c>
      <c r="E43" s="16">
        <v>94.36</v>
      </c>
    </row>
    <row r="44" spans="1:13">
      <c r="A44" s="95">
        <v>45688</v>
      </c>
      <c r="B44" t="s">
        <v>189</v>
      </c>
      <c r="C44" t="s">
        <v>124</v>
      </c>
      <c r="D44" t="s">
        <v>42</v>
      </c>
      <c r="E44" s="16">
        <v>3000</v>
      </c>
      <c r="M44" s="87"/>
    </row>
    <row r="45" spans="1:13">
      <c r="A45" s="95">
        <v>45688</v>
      </c>
      <c r="B45" t="s">
        <v>190</v>
      </c>
      <c r="C45" t="s">
        <v>42</v>
      </c>
      <c r="D45" t="s">
        <v>39</v>
      </c>
      <c r="E45" s="16">
        <v>330</v>
      </c>
    </row>
    <row r="46" spans="1:13">
      <c r="A46" s="95">
        <v>45688</v>
      </c>
      <c r="B46" t="s">
        <v>191</v>
      </c>
      <c r="C46" t="s">
        <v>101</v>
      </c>
      <c r="D46" t="s">
        <v>33</v>
      </c>
      <c r="E46" s="16">
        <v>58.33</v>
      </c>
    </row>
    <row r="47" spans="1:13">
      <c r="A47" s="95">
        <v>45688</v>
      </c>
      <c r="B47" t="s">
        <v>192</v>
      </c>
      <c r="C47" t="s">
        <v>103</v>
      </c>
      <c r="D47" t="s">
        <v>35</v>
      </c>
      <c r="E47" s="16">
        <v>77.77</v>
      </c>
    </row>
    <row r="48" spans="1:13">
      <c r="A48" s="95">
        <v>45688</v>
      </c>
      <c r="B48" t="s">
        <v>193</v>
      </c>
      <c r="C48" t="s">
        <v>105</v>
      </c>
      <c r="D48" t="s">
        <v>37</v>
      </c>
      <c r="E48" s="16">
        <v>10.88</v>
      </c>
    </row>
    <row r="49" spans="1:13">
      <c r="A49" s="95">
        <v>45688</v>
      </c>
      <c r="B49" t="s">
        <v>183</v>
      </c>
      <c r="C49" t="s">
        <v>126</v>
      </c>
      <c r="D49" t="s">
        <v>29</v>
      </c>
      <c r="E49" s="16">
        <v>872.76</v>
      </c>
    </row>
    <row r="50" spans="1:13">
      <c r="A50" s="95">
        <v>45688</v>
      </c>
      <c r="B50" t="s">
        <v>185</v>
      </c>
      <c r="C50" t="s">
        <v>130</v>
      </c>
      <c r="D50" t="s">
        <v>37</v>
      </c>
      <c r="E50" s="16">
        <v>69.819999999999993</v>
      </c>
    </row>
    <row r="51" spans="1:13">
      <c r="A51" s="95">
        <v>45688</v>
      </c>
      <c r="B51" t="s">
        <v>194</v>
      </c>
      <c r="C51" t="s">
        <v>132</v>
      </c>
      <c r="D51" t="s">
        <v>33</v>
      </c>
      <c r="E51" s="16">
        <v>72.73</v>
      </c>
    </row>
    <row r="52" spans="1:13">
      <c r="A52" s="95">
        <v>45688</v>
      </c>
      <c r="B52" t="s">
        <v>195</v>
      </c>
      <c r="C52" t="s">
        <v>134</v>
      </c>
      <c r="D52" t="s">
        <v>35</v>
      </c>
      <c r="E52" s="16">
        <v>96.97</v>
      </c>
    </row>
    <row r="53" spans="1:13">
      <c r="A53" s="95">
        <v>45688</v>
      </c>
      <c r="B53" t="s">
        <v>196</v>
      </c>
      <c r="C53" t="s">
        <v>136</v>
      </c>
      <c r="D53" t="s">
        <v>37</v>
      </c>
      <c r="E53" s="16">
        <v>13.58</v>
      </c>
    </row>
    <row r="54" spans="1:13">
      <c r="A54" s="95">
        <v>45688</v>
      </c>
      <c r="B54" t="s">
        <v>197</v>
      </c>
      <c r="C54" t="s">
        <v>81</v>
      </c>
      <c r="D54" t="s">
        <v>7</v>
      </c>
      <c r="E54" s="16">
        <v>627.29999999999995</v>
      </c>
    </row>
    <row r="55" spans="1:13" s="88" customFormat="1">
      <c r="A55" s="95">
        <v>45688</v>
      </c>
      <c r="B55" t="s">
        <v>198</v>
      </c>
      <c r="C55" t="s">
        <v>199</v>
      </c>
      <c r="D55" t="s">
        <v>17</v>
      </c>
      <c r="E55" s="89">
        <v>198.8</v>
      </c>
      <c r="M55" s="90"/>
    </row>
    <row r="56" spans="1:13">
      <c r="A56" s="95">
        <v>45691</v>
      </c>
      <c r="B56" t="s">
        <v>200</v>
      </c>
      <c r="C56" t="s">
        <v>109</v>
      </c>
      <c r="D56" t="s">
        <v>7</v>
      </c>
      <c r="E56" s="16">
        <v>364</v>
      </c>
    </row>
    <row r="57" spans="1:13">
      <c r="A57" s="95">
        <v>45691</v>
      </c>
      <c r="B57" t="s">
        <v>201</v>
      </c>
      <c r="C57" t="s">
        <v>111</v>
      </c>
      <c r="D57" t="s">
        <v>7</v>
      </c>
      <c r="E57" s="16">
        <v>440</v>
      </c>
    </row>
    <row r="58" spans="1:13">
      <c r="A58" s="95">
        <v>45693</v>
      </c>
      <c r="B58" t="s">
        <v>202</v>
      </c>
      <c r="C58" t="s">
        <v>42</v>
      </c>
      <c r="D58" t="s">
        <v>7</v>
      </c>
      <c r="E58" s="16">
        <v>3560</v>
      </c>
      <c r="M58" s="87"/>
    </row>
    <row r="59" spans="1:13">
      <c r="A59" s="95">
        <v>45693</v>
      </c>
      <c r="B59" t="s">
        <v>203</v>
      </c>
      <c r="C59" t="s">
        <v>29</v>
      </c>
      <c r="D59" t="s">
        <v>7</v>
      </c>
      <c r="E59" s="16">
        <v>1360.44</v>
      </c>
      <c r="M59" s="87"/>
    </row>
    <row r="60" spans="1:13">
      <c r="A60" s="95">
        <v>45694</v>
      </c>
      <c r="B60" t="s">
        <v>204</v>
      </c>
      <c r="C60" s="32" t="s">
        <v>7</v>
      </c>
      <c r="D60" t="s">
        <v>62</v>
      </c>
      <c r="E60" s="16">
        <v>150</v>
      </c>
      <c r="G60" t="s">
        <v>205</v>
      </c>
    </row>
    <row r="61" spans="1:13">
      <c r="A61" s="95">
        <v>45695</v>
      </c>
      <c r="B61" t="s">
        <v>206</v>
      </c>
      <c r="C61" t="s">
        <v>151</v>
      </c>
      <c r="D61" t="s">
        <v>7</v>
      </c>
      <c r="E61" s="16">
        <v>122.51</v>
      </c>
      <c r="M61" s="87"/>
    </row>
    <row r="62" spans="1:13">
      <c r="A62" s="95">
        <v>45695</v>
      </c>
      <c r="B62" t="s">
        <v>207</v>
      </c>
      <c r="C62" t="s">
        <v>83</v>
      </c>
      <c r="D62" t="s">
        <v>7</v>
      </c>
      <c r="E62" s="16">
        <v>300</v>
      </c>
      <c r="M62" s="87"/>
    </row>
    <row r="63" spans="1:13">
      <c r="A63" s="95">
        <v>45695</v>
      </c>
      <c r="B63" t="s">
        <v>208</v>
      </c>
      <c r="C63" s="32" t="s">
        <v>7</v>
      </c>
      <c r="D63" t="s">
        <v>68</v>
      </c>
      <c r="E63" s="16">
        <v>380</v>
      </c>
    </row>
    <row r="64" spans="1:13">
      <c r="A64" s="95">
        <v>45698</v>
      </c>
      <c r="B64" t="s">
        <v>209</v>
      </c>
      <c r="C64" s="32" t="s">
        <v>7</v>
      </c>
      <c r="D64" s="32" t="s">
        <v>60</v>
      </c>
      <c r="E64" s="16">
        <v>250</v>
      </c>
    </row>
    <row r="65" spans="1:14">
      <c r="A65" s="95">
        <v>45698</v>
      </c>
      <c r="B65" t="s">
        <v>210</v>
      </c>
      <c r="C65" s="32" t="s">
        <v>7</v>
      </c>
      <c r="D65" s="32" t="s">
        <v>60</v>
      </c>
      <c r="E65" s="16">
        <v>500</v>
      </c>
      <c r="M65" s="87"/>
    </row>
    <row r="66" spans="1:14">
      <c r="A66" s="95">
        <v>45693</v>
      </c>
      <c r="B66" t="s">
        <v>211</v>
      </c>
      <c r="C66" t="s">
        <v>27</v>
      </c>
      <c r="D66" t="s">
        <v>7</v>
      </c>
      <c r="E66" s="16">
        <v>553.20000000000005</v>
      </c>
    </row>
    <row r="67" spans="1:14">
      <c r="A67" s="95">
        <v>45698</v>
      </c>
      <c r="B67" t="s">
        <v>212</v>
      </c>
      <c r="C67" t="s">
        <v>27</v>
      </c>
      <c r="D67" t="s">
        <v>7</v>
      </c>
      <c r="E67" s="16">
        <v>403.33</v>
      </c>
    </row>
    <row r="68" spans="1:14">
      <c r="A68" s="95">
        <v>45699</v>
      </c>
      <c r="B68" t="s">
        <v>213</v>
      </c>
      <c r="C68" t="s">
        <v>91</v>
      </c>
      <c r="D68" t="s">
        <v>7</v>
      </c>
      <c r="E68" s="16">
        <v>139.97999999999999</v>
      </c>
      <c r="M68" s="87"/>
    </row>
    <row r="69" spans="1:14">
      <c r="A69" s="95">
        <v>45699</v>
      </c>
      <c r="B69" t="s">
        <v>214</v>
      </c>
      <c r="C69" s="32" t="s">
        <v>7</v>
      </c>
      <c r="D69" t="s">
        <v>66</v>
      </c>
      <c r="E69" s="16">
        <v>550</v>
      </c>
    </row>
    <row r="70" spans="1:14">
      <c r="A70" s="95">
        <v>45701</v>
      </c>
      <c r="B70" t="s">
        <v>215</v>
      </c>
      <c r="C70" s="32" t="s">
        <v>7</v>
      </c>
      <c r="D70" t="s">
        <v>64</v>
      </c>
      <c r="E70" s="16">
        <v>300</v>
      </c>
    </row>
    <row r="71" spans="1:14">
      <c r="A71" s="95">
        <v>45701</v>
      </c>
      <c r="B71" t="s">
        <v>204</v>
      </c>
      <c r="C71" s="32" t="s">
        <v>7</v>
      </c>
      <c r="D71" t="s">
        <v>62</v>
      </c>
      <c r="E71" s="16">
        <v>150</v>
      </c>
      <c r="M71" s="87"/>
    </row>
    <row r="72" spans="1:14">
      <c r="A72" s="95">
        <v>45702</v>
      </c>
      <c r="B72" t="s">
        <v>216</v>
      </c>
      <c r="C72" s="32" t="s">
        <v>7</v>
      </c>
      <c r="D72" s="32" t="s">
        <v>58</v>
      </c>
      <c r="E72" s="16">
        <v>800</v>
      </c>
    </row>
    <row r="73" spans="1:14">
      <c r="A73" s="95">
        <v>45702</v>
      </c>
      <c r="B73" t="s">
        <v>217</v>
      </c>
      <c r="C73" s="32" t="s">
        <v>7</v>
      </c>
      <c r="D73" s="32" t="s">
        <v>58</v>
      </c>
      <c r="E73" s="16">
        <v>1000</v>
      </c>
    </row>
    <row r="74" spans="1:14">
      <c r="A74" s="95">
        <v>45702</v>
      </c>
      <c r="B74" t="s">
        <v>218</v>
      </c>
      <c r="C74" t="s">
        <v>122</v>
      </c>
      <c r="D74" t="s">
        <v>7</v>
      </c>
      <c r="E74" s="16">
        <v>295</v>
      </c>
      <c r="M74" s="87"/>
    </row>
    <row r="75" spans="1:14">
      <c r="A75" s="95">
        <v>45702</v>
      </c>
      <c r="B75" t="s">
        <v>219</v>
      </c>
      <c r="C75" t="s">
        <v>75</v>
      </c>
      <c r="D75" t="s">
        <v>7</v>
      </c>
      <c r="E75" s="16">
        <v>185.19</v>
      </c>
    </row>
    <row r="76" spans="1:14">
      <c r="A76" s="95">
        <v>45705</v>
      </c>
      <c r="B76" t="s">
        <v>204</v>
      </c>
      <c r="C76" s="32" t="s">
        <v>7</v>
      </c>
      <c r="D76" t="s">
        <v>62</v>
      </c>
      <c r="E76" s="16">
        <v>150</v>
      </c>
    </row>
    <row r="77" spans="1:14">
      <c r="A77" s="95">
        <v>45705</v>
      </c>
      <c r="B77" t="s">
        <v>220</v>
      </c>
      <c r="C77" s="32" t="s">
        <v>7</v>
      </c>
      <c r="D77" t="s">
        <v>68</v>
      </c>
      <c r="E77" s="16">
        <v>600</v>
      </c>
      <c r="M77" s="87"/>
      <c r="N77" s="87"/>
    </row>
    <row r="78" spans="1:14">
      <c r="A78" s="95">
        <v>45705</v>
      </c>
      <c r="B78" t="s">
        <v>214</v>
      </c>
      <c r="C78" s="32" t="s">
        <v>7</v>
      </c>
      <c r="D78" t="s">
        <v>66</v>
      </c>
      <c r="E78" s="16">
        <v>550</v>
      </c>
    </row>
    <row r="79" spans="1:14">
      <c r="A79" s="95">
        <v>45706</v>
      </c>
      <c r="B79" t="s">
        <v>221</v>
      </c>
      <c r="C79" s="32" t="s">
        <v>7</v>
      </c>
      <c r="D79" t="s">
        <v>64</v>
      </c>
      <c r="E79" s="16">
        <v>300</v>
      </c>
    </row>
    <row r="80" spans="1:14">
      <c r="A80" s="95">
        <v>45708</v>
      </c>
      <c r="B80" t="s">
        <v>186</v>
      </c>
      <c r="C80" t="s">
        <v>39</v>
      </c>
      <c r="D80" t="s">
        <v>7</v>
      </c>
      <c r="E80" s="16">
        <v>117.96</v>
      </c>
      <c r="M80" s="87"/>
      <c r="N80" s="87"/>
    </row>
    <row r="81" spans="1:14">
      <c r="A81" s="95">
        <v>45708</v>
      </c>
      <c r="B81" t="s">
        <v>222</v>
      </c>
      <c r="C81" t="s">
        <v>37</v>
      </c>
      <c r="D81" t="s">
        <v>7</v>
      </c>
      <c r="E81" s="16">
        <v>125.82</v>
      </c>
    </row>
    <row r="82" spans="1:14">
      <c r="A82" s="95">
        <v>45708</v>
      </c>
      <c r="B82" t="s">
        <v>223</v>
      </c>
      <c r="C82" t="s">
        <v>224</v>
      </c>
      <c r="D82" t="s">
        <v>7</v>
      </c>
      <c r="E82" s="16">
        <v>562.4</v>
      </c>
    </row>
    <row r="83" spans="1:14">
      <c r="A83" s="95">
        <v>45709</v>
      </c>
      <c r="B83" t="s">
        <v>225</v>
      </c>
      <c r="C83" s="32" t="s">
        <v>7</v>
      </c>
      <c r="D83" t="s">
        <v>68</v>
      </c>
      <c r="E83" s="16">
        <v>380</v>
      </c>
    </row>
    <row r="84" spans="1:14">
      <c r="A84" s="95">
        <v>45709</v>
      </c>
      <c r="B84" t="s">
        <v>226</v>
      </c>
      <c r="C84" s="32" t="s">
        <v>7</v>
      </c>
      <c r="D84" t="s">
        <v>68</v>
      </c>
      <c r="E84" s="16">
        <v>1200</v>
      </c>
      <c r="M84" s="87"/>
      <c r="N84" s="87"/>
    </row>
    <row r="85" spans="1:14">
      <c r="A85" s="95">
        <v>45709</v>
      </c>
      <c r="B85" t="s">
        <v>209</v>
      </c>
      <c r="C85" s="32" t="s">
        <v>7</v>
      </c>
      <c r="D85" t="s">
        <v>60</v>
      </c>
      <c r="E85" s="16">
        <v>250</v>
      </c>
    </row>
    <row r="86" spans="1:14">
      <c r="A86" s="95">
        <v>45712</v>
      </c>
      <c r="B86" t="s">
        <v>227</v>
      </c>
      <c r="C86" s="32" t="s">
        <v>7</v>
      </c>
      <c r="D86" t="s">
        <v>68</v>
      </c>
      <c r="E86" s="16">
        <v>450</v>
      </c>
    </row>
    <row r="87" spans="1:14">
      <c r="A87" s="95">
        <v>45713</v>
      </c>
      <c r="B87" t="s">
        <v>228</v>
      </c>
      <c r="C87" s="32" t="s">
        <v>7</v>
      </c>
      <c r="D87" t="s">
        <v>68</v>
      </c>
      <c r="E87" s="16">
        <v>750</v>
      </c>
    </row>
    <row r="88" spans="1:14">
      <c r="A88" s="95">
        <v>45715</v>
      </c>
      <c r="B88" t="s">
        <v>176</v>
      </c>
      <c r="C88" t="s">
        <v>89</v>
      </c>
      <c r="D88" t="s">
        <v>44</v>
      </c>
      <c r="E88" s="16">
        <v>290</v>
      </c>
    </row>
    <row r="89" spans="1:14">
      <c r="A89" s="95">
        <v>45715</v>
      </c>
      <c r="B89" t="s">
        <v>204</v>
      </c>
      <c r="C89" s="32" t="s">
        <v>7</v>
      </c>
      <c r="D89" t="s">
        <v>62</v>
      </c>
      <c r="E89" s="16">
        <v>150</v>
      </c>
    </row>
    <row r="90" spans="1:14">
      <c r="A90" s="95">
        <v>45715</v>
      </c>
      <c r="B90" t="s">
        <v>204</v>
      </c>
      <c r="C90" s="32" t="s">
        <v>7</v>
      </c>
      <c r="D90" t="s">
        <v>62</v>
      </c>
      <c r="E90" s="16">
        <v>150</v>
      </c>
    </row>
    <row r="91" spans="1:14">
      <c r="A91" s="95">
        <v>45716</v>
      </c>
      <c r="B91" t="s">
        <v>229</v>
      </c>
      <c r="C91" s="32" t="s">
        <v>7</v>
      </c>
      <c r="D91" s="32" t="s">
        <v>58</v>
      </c>
      <c r="E91" s="16">
        <v>1000</v>
      </c>
    </row>
    <row r="92" spans="1:14">
      <c r="A92" s="95">
        <v>45716</v>
      </c>
      <c r="B92" t="s">
        <v>183</v>
      </c>
      <c r="C92" t="s">
        <v>99</v>
      </c>
      <c r="D92" t="s">
        <v>29</v>
      </c>
      <c r="E92" s="16">
        <v>700</v>
      </c>
    </row>
    <row r="93" spans="1:14">
      <c r="A93" s="95">
        <v>45716</v>
      </c>
      <c r="B93" t="s">
        <v>184</v>
      </c>
      <c r="C93" t="s">
        <v>107</v>
      </c>
      <c r="D93" t="s">
        <v>42</v>
      </c>
      <c r="E93" s="16">
        <v>1000</v>
      </c>
    </row>
    <row r="94" spans="1:14">
      <c r="A94" s="95">
        <v>45716</v>
      </c>
      <c r="B94" t="s">
        <v>185</v>
      </c>
      <c r="C94" t="s">
        <v>105</v>
      </c>
      <c r="D94" t="s">
        <v>37</v>
      </c>
      <c r="E94" s="16">
        <v>56</v>
      </c>
    </row>
    <row r="95" spans="1:14">
      <c r="A95" s="95">
        <v>45716</v>
      </c>
      <c r="B95" t="s">
        <v>186</v>
      </c>
      <c r="C95" t="s">
        <v>29</v>
      </c>
      <c r="D95" t="s">
        <v>39</v>
      </c>
      <c r="E95" s="16">
        <v>226.09</v>
      </c>
      <c r="F95" s="32">
        <f>52.5+173.59</f>
        <v>226.09</v>
      </c>
    </row>
    <row r="96" spans="1:14">
      <c r="A96" s="95">
        <v>45716</v>
      </c>
      <c r="B96" t="s">
        <v>187</v>
      </c>
      <c r="C96" t="s">
        <v>42</v>
      </c>
      <c r="D96" t="s">
        <v>39</v>
      </c>
      <c r="E96" s="16">
        <v>110</v>
      </c>
    </row>
    <row r="97" spans="1:6">
      <c r="A97" s="95">
        <v>45716</v>
      </c>
      <c r="B97" t="s">
        <v>188</v>
      </c>
      <c r="C97" t="s">
        <v>29</v>
      </c>
      <c r="D97" t="s">
        <v>31</v>
      </c>
      <c r="E97" s="16">
        <v>172.91</v>
      </c>
      <c r="F97" s="32">
        <f>130.91+42</f>
        <v>172.91</v>
      </c>
    </row>
    <row r="98" spans="1:6">
      <c r="A98" s="95">
        <v>45716</v>
      </c>
      <c r="B98" t="s">
        <v>230</v>
      </c>
      <c r="C98" t="s">
        <v>124</v>
      </c>
      <c r="D98" t="s">
        <v>42</v>
      </c>
      <c r="E98" s="16">
        <v>3000</v>
      </c>
    </row>
    <row r="99" spans="1:6">
      <c r="A99" s="95">
        <v>45716</v>
      </c>
      <c r="B99" t="s">
        <v>190</v>
      </c>
      <c r="C99" t="s">
        <v>42</v>
      </c>
      <c r="D99" t="s">
        <v>39</v>
      </c>
      <c r="E99" s="16">
        <v>330</v>
      </c>
    </row>
    <row r="100" spans="1:6">
      <c r="A100" s="95">
        <v>45716</v>
      </c>
      <c r="B100" t="s">
        <v>231</v>
      </c>
      <c r="C100" t="s">
        <v>101</v>
      </c>
      <c r="D100" t="s">
        <v>232</v>
      </c>
      <c r="E100" s="16">
        <v>58.33</v>
      </c>
    </row>
    <row r="101" spans="1:6">
      <c r="A101" s="95">
        <v>45716</v>
      </c>
      <c r="B101" t="s">
        <v>233</v>
      </c>
      <c r="C101" t="s">
        <v>103</v>
      </c>
      <c r="D101" t="s">
        <v>35</v>
      </c>
      <c r="E101" s="16">
        <v>77.77</v>
      </c>
    </row>
    <row r="102" spans="1:6">
      <c r="A102" s="95">
        <v>45716</v>
      </c>
      <c r="B102" t="s">
        <v>234</v>
      </c>
      <c r="C102" t="s">
        <v>105</v>
      </c>
      <c r="D102" t="s">
        <v>37</v>
      </c>
      <c r="E102" s="16">
        <v>10.88</v>
      </c>
    </row>
    <row r="103" spans="1:6">
      <c r="A103" s="95">
        <v>45716</v>
      </c>
      <c r="B103" t="s">
        <v>183</v>
      </c>
      <c r="C103" t="s">
        <v>126</v>
      </c>
      <c r="D103" t="s">
        <v>29</v>
      </c>
      <c r="E103" s="16">
        <v>2181.8200000000002</v>
      </c>
    </row>
    <row r="104" spans="1:6">
      <c r="A104" s="95">
        <v>45716</v>
      </c>
      <c r="B104" t="s">
        <v>185</v>
      </c>
      <c r="C104" t="s">
        <v>130</v>
      </c>
      <c r="D104" t="s">
        <v>37</v>
      </c>
      <c r="E104" s="16">
        <v>174.55</v>
      </c>
    </row>
    <row r="105" spans="1:6">
      <c r="A105" s="95">
        <v>45716</v>
      </c>
      <c r="B105" t="s">
        <v>194</v>
      </c>
      <c r="C105" t="s">
        <v>132</v>
      </c>
      <c r="D105" t="s">
        <v>33</v>
      </c>
      <c r="E105" s="16">
        <v>181.82</v>
      </c>
    </row>
    <row r="106" spans="1:6">
      <c r="A106" s="95">
        <v>45716</v>
      </c>
      <c r="B106" t="s">
        <v>195</v>
      </c>
      <c r="C106" t="s">
        <v>134</v>
      </c>
      <c r="D106" t="s">
        <v>35</v>
      </c>
      <c r="E106" s="16">
        <v>242.42</v>
      </c>
    </row>
    <row r="107" spans="1:6">
      <c r="A107" s="95">
        <v>45716</v>
      </c>
      <c r="B107" t="s">
        <v>196</v>
      </c>
      <c r="C107" t="s">
        <v>136</v>
      </c>
      <c r="D107" t="s">
        <v>37</v>
      </c>
      <c r="E107" s="16">
        <v>33.94</v>
      </c>
    </row>
    <row r="108" spans="1:6">
      <c r="A108" s="95">
        <v>45716</v>
      </c>
      <c r="B108" t="s">
        <v>198</v>
      </c>
      <c r="C108" t="s">
        <v>199</v>
      </c>
      <c r="D108" t="s">
        <v>17</v>
      </c>
      <c r="E108" s="89">
        <v>198.8</v>
      </c>
    </row>
    <row r="109" spans="1:6">
      <c r="A109" s="95">
        <v>45719</v>
      </c>
      <c r="B109" t="s">
        <v>200</v>
      </c>
      <c r="C109" t="s">
        <v>109</v>
      </c>
      <c r="D109" t="s">
        <v>7</v>
      </c>
      <c r="E109" s="16">
        <v>325</v>
      </c>
    </row>
    <row r="110" spans="1:6">
      <c r="A110" s="95">
        <v>45719</v>
      </c>
      <c r="B110" t="s">
        <v>201</v>
      </c>
      <c r="C110" t="s">
        <v>111</v>
      </c>
      <c r="D110" t="s">
        <v>7</v>
      </c>
      <c r="E110" s="16">
        <v>440</v>
      </c>
    </row>
    <row r="111" spans="1:6">
      <c r="A111" s="95">
        <v>45721</v>
      </c>
      <c r="B111" t="s">
        <v>202</v>
      </c>
      <c r="C111" t="s">
        <v>42</v>
      </c>
      <c r="D111" t="s">
        <v>7</v>
      </c>
      <c r="E111" s="16">
        <v>3560</v>
      </c>
    </row>
    <row r="112" spans="1:6">
      <c r="A112" s="95">
        <v>45721</v>
      </c>
      <c r="B112" t="s">
        <v>203</v>
      </c>
      <c r="C112" t="s">
        <v>29</v>
      </c>
      <c r="D112" t="s">
        <v>7</v>
      </c>
      <c r="E112" s="16">
        <v>2482.8200000000002</v>
      </c>
    </row>
    <row r="113" spans="1:5">
      <c r="A113" s="95">
        <v>45722</v>
      </c>
      <c r="B113" t="s">
        <v>204</v>
      </c>
      <c r="C113" t="s">
        <v>7</v>
      </c>
      <c r="D113" t="s">
        <v>62</v>
      </c>
      <c r="E113" s="16">
        <v>150</v>
      </c>
    </row>
    <row r="114" spans="1:5">
      <c r="A114" s="95">
        <v>45723</v>
      </c>
      <c r="B114" t="s">
        <v>150</v>
      </c>
      <c r="C114" t="s">
        <v>151</v>
      </c>
      <c r="D114" t="s">
        <v>7</v>
      </c>
      <c r="E114" s="16">
        <v>134.94999999999999</v>
      </c>
    </row>
    <row r="115" spans="1:5">
      <c r="A115" s="95">
        <v>45723</v>
      </c>
      <c r="B115" t="s">
        <v>207</v>
      </c>
      <c r="C115" t="s">
        <v>83</v>
      </c>
      <c r="D115" t="s">
        <v>7</v>
      </c>
      <c r="E115" s="16">
        <v>180</v>
      </c>
    </row>
    <row r="116" spans="1:5">
      <c r="A116" s="95">
        <v>45723</v>
      </c>
      <c r="B116" t="s">
        <v>209</v>
      </c>
      <c r="C116" s="32" t="s">
        <v>7</v>
      </c>
      <c r="D116" t="s">
        <v>60</v>
      </c>
      <c r="E116" s="16">
        <v>250</v>
      </c>
    </row>
    <row r="117" spans="1:5">
      <c r="A117" s="95">
        <v>45723</v>
      </c>
      <c r="B117" t="s">
        <v>210</v>
      </c>
      <c r="C117" s="32" t="s">
        <v>7</v>
      </c>
      <c r="D117" t="s">
        <v>60</v>
      </c>
      <c r="E117" s="16">
        <v>500</v>
      </c>
    </row>
    <row r="118" spans="1:5">
      <c r="A118" s="95">
        <v>45726</v>
      </c>
      <c r="B118" t="s">
        <v>235</v>
      </c>
      <c r="C118" t="s">
        <v>27</v>
      </c>
      <c r="D118" t="s">
        <v>7</v>
      </c>
      <c r="E118" s="16">
        <v>553.20000000000005</v>
      </c>
    </row>
    <row r="119" spans="1:5">
      <c r="A119" s="95">
        <v>45726</v>
      </c>
      <c r="B119" t="s">
        <v>236</v>
      </c>
      <c r="C119" t="s">
        <v>154</v>
      </c>
      <c r="D119" t="s">
        <v>7</v>
      </c>
      <c r="E119" s="16">
        <v>218.36</v>
      </c>
    </row>
    <row r="120" spans="1:5">
      <c r="A120" s="95">
        <v>45726</v>
      </c>
      <c r="B120" t="s">
        <v>237</v>
      </c>
      <c r="C120" t="s">
        <v>27</v>
      </c>
      <c r="D120" t="s">
        <v>7</v>
      </c>
      <c r="E120" s="16">
        <v>403.33</v>
      </c>
    </row>
    <row r="121" spans="1:5">
      <c r="A121" s="95">
        <v>45726</v>
      </c>
      <c r="B121" t="s">
        <v>213</v>
      </c>
      <c r="C121" t="s">
        <v>91</v>
      </c>
      <c r="D121" t="s">
        <v>7</v>
      </c>
      <c r="E121" s="16">
        <v>139.97999999999999</v>
      </c>
    </row>
    <row r="122" spans="1:5">
      <c r="A122" s="95">
        <v>45729</v>
      </c>
      <c r="B122" t="s">
        <v>229</v>
      </c>
      <c r="C122" s="32" t="s">
        <v>7</v>
      </c>
      <c r="D122" s="32" t="s">
        <v>58</v>
      </c>
      <c r="E122" s="16">
        <v>1000</v>
      </c>
    </row>
    <row r="123" spans="1:5">
      <c r="A123" s="95">
        <v>45729</v>
      </c>
      <c r="B123" t="s">
        <v>204</v>
      </c>
      <c r="C123" s="32" t="s">
        <v>7</v>
      </c>
      <c r="D123" t="s">
        <v>62</v>
      </c>
      <c r="E123" s="16">
        <v>150</v>
      </c>
    </row>
    <row r="124" spans="1:5">
      <c r="A124" s="95">
        <v>45730</v>
      </c>
      <c r="B124" t="s">
        <v>216</v>
      </c>
      <c r="C124" s="32" t="s">
        <v>7</v>
      </c>
      <c r="D124" s="32" t="s">
        <v>58</v>
      </c>
      <c r="E124" s="16">
        <v>800</v>
      </c>
    </row>
    <row r="125" spans="1:5">
      <c r="A125" s="95">
        <v>45730</v>
      </c>
      <c r="B125" t="s">
        <v>217</v>
      </c>
      <c r="C125" s="32" t="s">
        <v>7</v>
      </c>
      <c r="D125" s="32" t="s">
        <v>58</v>
      </c>
      <c r="E125" s="16">
        <v>1000</v>
      </c>
    </row>
    <row r="126" spans="1:5">
      <c r="A126" s="95">
        <v>45730</v>
      </c>
      <c r="B126" t="s">
        <v>238</v>
      </c>
      <c r="C126" t="s">
        <v>122</v>
      </c>
      <c r="D126" t="s">
        <v>7</v>
      </c>
      <c r="E126" s="16">
        <v>295</v>
      </c>
    </row>
    <row r="127" spans="1:5">
      <c r="A127" s="95">
        <v>45730</v>
      </c>
      <c r="B127" t="s">
        <v>219</v>
      </c>
      <c r="C127" t="s">
        <v>75</v>
      </c>
      <c r="D127" t="s">
        <v>7</v>
      </c>
      <c r="E127" s="16">
        <v>182.41</v>
      </c>
    </row>
    <row r="128" spans="1:5">
      <c r="A128" s="95">
        <v>45733</v>
      </c>
      <c r="B128" t="s">
        <v>209</v>
      </c>
      <c r="C128" s="32" t="s">
        <v>7</v>
      </c>
      <c r="D128" t="s">
        <v>60</v>
      </c>
      <c r="E128" s="16">
        <v>250</v>
      </c>
    </row>
    <row r="129" spans="1:5">
      <c r="A129" s="95">
        <v>45733</v>
      </c>
      <c r="B129" t="s">
        <v>239</v>
      </c>
      <c r="C129" s="32" t="s">
        <v>7</v>
      </c>
      <c r="D129" t="s">
        <v>64</v>
      </c>
      <c r="E129" s="16">
        <v>300</v>
      </c>
    </row>
    <row r="130" spans="1:5">
      <c r="A130" s="95">
        <v>45733</v>
      </c>
      <c r="B130" t="s">
        <v>240</v>
      </c>
      <c r="C130" s="32" t="s">
        <v>7</v>
      </c>
      <c r="D130" t="s">
        <v>62</v>
      </c>
      <c r="E130" s="16">
        <v>300</v>
      </c>
    </row>
    <row r="131" spans="1:5">
      <c r="A131" s="95">
        <v>45733</v>
      </c>
      <c r="B131" t="s">
        <v>241</v>
      </c>
      <c r="C131" s="32" t="s">
        <v>7</v>
      </c>
      <c r="D131" t="s">
        <v>68</v>
      </c>
      <c r="E131" s="16">
        <v>300</v>
      </c>
    </row>
    <row r="132" spans="1:5">
      <c r="A132" s="95">
        <v>45736</v>
      </c>
      <c r="B132" t="s">
        <v>186</v>
      </c>
      <c r="C132" t="s">
        <v>39</v>
      </c>
      <c r="D132" t="s">
        <v>7</v>
      </c>
      <c r="E132" s="16">
        <v>226.09</v>
      </c>
    </row>
    <row r="133" spans="1:5">
      <c r="A133" s="95">
        <v>45736</v>
      </c>
      <c r="B133" t="s">
        <v>222</v>
      </c>
      <c r="C133" t="s">
        <v>37</v>
      </c>
      <c r="D133" t="s">
        <v>7</v>
      </c>
      <c r="E133" s="16">
        <v>230.55</v>
      </c>
    </row>
    <row r="134" spans="1:5">
      <c r="A134" s="95">
        <v>45736</v>
      </c>
      <c r="B134" t="s">
        <v>242</v>
      </c>
      <c r="C134" t="s">
        <v>169</v>
      </c>
      <c r="D134" t="s">
        <v>7</v>
      </c>
      <c r="E134" s="16">
        <v>147.46</v>
      </c>
    </row>
    <row r="135" spans="1:5">
      <c r="A135" s="95">
        <v>45736</v>
      </c>
      <c r="B135" t="s">
        <v>223</v>
      </c>
      <c r="C135" t="s">
        <v>224</v>
      </c>
      <c r="D135" t="s">
        <v>7</v>
      </c>
      <c r="E135" s="16">
        <v>562.4</v>
      </c>
    </row>
    <row r="136" spans="1:5">
      <c r="A136" s="95">
        <v>45737</v>
      </c>
      <c r="B136" t="s">
        <v>225</v>
      </c>
      <c r="C136" s="32" t="s">
        <v>7</v>
      </c>
      <c r="D136" t="s">
        <v>68</v>
      </c>
      <c r="E136" s="16">
        <v>380</v>
      </c>
    </row>
    <row r="137" spans="1:5">
      <c r="A137" s="95">
        <v>45740</v>
      </c>
      <c r="B137" t="s">
        <v>214</v>
      </c>
      <c r="C137" s="32" t="s">
        <v>7</v>
      </c>
      <c r="D137" t="s">
        <v>66</v>
      </c>
      <c r="E137" s="16">
        <v>550</v>
      </c>
    </row>
    <row r="138" spans="1:5">
      <c r="A138" s="95">
        <v>45740</v>
      </c>
      <c r="B138" t="s">
        <v>226</v>
      </c>
      <c r="C138" s="32" t="s">
        <v>7</v>
      </c>
      <c r="D138" s="32" t="s">
        <v>68</v>
      </c>
      <c r="E138" s="16">
        <v>800</v>
      </c>
    </row>
    <row r="139" spans="1:5">
      <c r="A139" s="95">
        <v>45741</v>
      </c>
      <c r="B139" t="s">
        <v>214</v>
      </c>
      <c r="C139" s="32" t="s">
        <v>7</v>
      </c>
      <c r="D139" t="s">
        <v>66</v>
      </c>
      <c r="E139" s="16">
        <v>550</v>
      </c>
    </row>
    <row r="140" spans="1:5">
      <c r="A140" s="95">
        <v>45741</v>
      </c>
      <c r="B140" t="s">
        <v>209</v>
      </c>
      <c r="C140" s="32" t="s">
        <v>7</v>
      </c>
      <c r="D140" s="32" t="s">
        <v>60</v>
      </c>
      <c r="E140" s="16">
        <v>250</v>
      </c>
    </row>
    <row r="141" spans="1:5">
      <c r="A141" s="95">
        <v>45740</v>
      </c>
      <c r="B141" t="s">
        <v>243</v>
      </c>
      <c r="C141" s="32" t="s">
        <v>7</v>
      </c>
      <c r="D141" t="s">
        <v>68</v>
      </c>
      <c r="E141" s="16">
        <v>900</v>
      </c>
    </row>
    <row r="142" spans="1:5">
      <c r="A142" s="95">
        <v>45741</v>
      </c>
      <c r="B142" t="s">
        <v>244</v>
      </c>
      <c r="C142" s="32" t="s">
        <v>7</v>
      </c>
      <c r="D142" t="s">
        <v>68</v>
      </c>
      <c r="E142" s="16">
        <v>600</v>
      </c>
    </row>
    <row r="143" spans="1:5">
      <c r="A143" s="95">
        <v>45741</v>
      </c>
      <c r="B143" t="s">
        <v>176</v>
      </c>
      <c r="C143" t="s">
        <v>89</v>
      </c>
      <c r="D143" t="s">
        <v>44</v>
      </c>
      <c r="E143" s="16">
        <v>290</v>
      </c>
    </row>
    <row r="144" spans="1:5">
      <c r="A144" s="95">
        <v>45743</v>
      </c>
      <c r="B144" t="s">
        <v>204</v>
      </c>
      <c r="C144" s="32" t="s">
        <v>7</v>
      </c>
      <c r="D144" t="s">
        <v>62</v>
      </c>
      <c r="E144" s="16">
        <v>150</v>
      </c>
    </row>
    <row r="145" spans="1:15">
      <c r="A145" s="95">
        <v>45743</v>
      </c>
      <c r="B145" t="s">
        <v>204</v>
      </c>
      <c r="C145" s="32" t="s">
        <v>7</v>
      </c>
      <c r="D145" t="s">
        <v>62</v>
      </c>
      <c r="E145" s="16">
        <v>150</v>
      </c>
    </row>
    <row r="146" spans="1:15">
      <c r="A146" s="95">
        <v>45743</v>
      </c>
      <c r="B146" t="s">
        <v>229</v>
      </c>
      <c r="C146" s="32" t="s">
        <v>7</v>
      </c>
      <c r="D146" s="32" t="s">
        <v>58</v>
      </c>
      <c r="E146" s="16">
        <v>1000</v>
      </c>
    </row>
    <row r="147" spans="1:15">
      <c r="A147" s="95">
        <v>45747</v>
      </c>
      <c r="B147" t="s">
        <v>183</v>
      </c>
      <c r="C147" t="s">
        <v>99</v>
      </c>
      <c r="D147" t="s">
        <v>29</v>
      </c>
      <c r="E147" s="16">
        <v>700</v>
      </c>
    </row>
    <row r="148" spans="1:15">
      <c r="A148" s="95">
        <v>45747</v>
      </c>
      <c r="B148" t="s">
        <v>184</v>
      </c>
      <c r="C148" t="s">
        <v>107</v>
      </c>
      <c r="D148" t="s">
        <v>42</v>
      </c>
      <c r="E148" s="16">
        <v>1000</v>
      </c>
    </row>
    <row r="149" spans="1:15">
      <c r="A149" s="95">
        <v>45747</v>
      </c>
      <c r="B149" t="s">
        <v>185</v>
      </c>
      <c r="C149" t="s">
        <v>105</v>
      </c>
      <c r="D149" t="s">
        <v>37</v>
      </c>
      <c r="E149" s="16">
        <v>56</v>
      </c>
    </row>
    <row r="150" spans="1:15">
      <c r="A150" s="95">
        <v>45747</v>
      </c>
      <c r="B150" t="s">
        <v>186</v>
      </c>
      <c r="C150" t="s">
        <v>29</v>
      </c>
      <c r="D150" t="s">
        <v>39</v>
      </c>
      <c r="E150" s="16">
        <v>226.09</v>
      </c>
    </row>
    <row r="151" spans="1:15">
      <c r="A151" s="95">
        <v>45747</v>
      </c>
      <c r="B151" t="s">
        <v>187</v>
      </c>
      <c r="C151" t="s">
        <v>42</v>
      </c>
      <c r="D151" t="s">
        <v>39</v>
      </c>
      <c r="E151" s="16">
        <v>110</v>
      </c>
    </row>
    <row r="152" spans="1:15">
      <c r="A152" s="95">
        <v>45747</v>
      </c>
      <c r="B152" t="s">
        <v>245</v>
      </c>
      <c r="C152" t="s">
        <v>29</v>
      </c>
      <c r="D152" t="s">
        <v>31</v>
      </c>
      <c r="E152" s="16">
        <v>172.91</v>
      </c>
    </row>
    <row r="153" spans="1:15">
      <c r="A153" s="95">
        <v>45747</v>
      </c>
      <c r="B153" t="s">
        <v>230</v>
      </c>
      <c r="C153" t="s">
        <v>124</v>
      </c>
      <c r="D153" t="s">
        <v>42</v>
      </c>
      <c r="E153" s="16">
        <v>3000</v>
      </c>
    </row>
    <row r="154" spans="1:15">
      <c r="A154" s="95">
        <v>45747</v>
      </c>
      <c r="B154" t="s">
        <v>190</v>
      </c>
      <c r="C154" t="s">
        <v>42</v>
      </c>
      <c r="D154" t="s">
        <v>39</v>
      </c>
      <c r="E154" s="16">
        <v>330</v>
      </c>
    </row>
    <row r="155" spans="1:15">
      <c r="A155" s="95">
        <v>45747</v>
      </c>
      <c r="B155" t="s">
        <v>231</v>
      </c>
      <c r="C155" t="s">
        <v>101</v>
      </c>
      <c r="D155" t="s">
        <v>232</v>
      </c>
      <c r="E155" s="16">
        <v>58.33</v>
      </c>
      <c r="H155" s="102">
        <v>56</v>
      </c>
      <c r="I155" s="102">
        <v>62</v>
      </c>
      <c r="J155" s="102">
        <f>I155-H155</f>
        <v>6</v>
      </c>
      <c r="K155" s="102" t="s">
        <v>246</v>
      </c>
    </row>
    <row r="156" spans="1:15">
      <c r="A156" s="95">
        <v>45747</v>
      </c>
      <c r="B156" t="s">
        <v>233</v>
      </c>
      <c r="C156" t="s">
        <v>103</v>
      </c>
      <c r="D156" t="s">
        <v>35</v>
      </c>
      <c r="E156" s="16">
        <v>77.77</v>
      </c>
      <c r="H156" s="102">
        <v>17</v>
      </c>
      <c r="I156" s="102">
        <v>19</v>
      </c>
      <c r="J156" s="102">
        <f>I156-H156</f>
        <v>2</v>
      </c>
      <c r="K156" s="102" t="s">
        <v>247</v>
      </c>
    </row>
    <row r="157" spans="1:15">
      <c r="A157" s="95">
        <v>45747</v>
      </c>
      <c r="B157" t="s">
        <v>234</v>
      </c>
      <c r="C157" t="s">
        <v>105</v>
      </c>
      <c r="D157" t="s">
        <v>37</v>
      </c>
      <c r="E157" s="16">
        <v>10.88</v>
      </c>
      <c r="H157" s="102">
        <f>H155+H156</f>
        <v>73</v>
      </c>
      <c r="I157" s="102">
        <f>I155+I156</f>
        <v>81</v>
      </c>
      <c r="J157" s="103">
        <f>I157-H157</f>
        <v>8</v>
      </c>
      <c r="K157" s="104">
        <v>0.1</v>
      </c>
      <c r="M157" s="106">
        <v>18</v>
      </c>
      <c r="N157" s="104">
        <v>0.1</v>
      </c>
      <c r="O157" s="102" t="s">
        <v>248</v>
      </c>
    </row>
    <row r="158" spans="1:15">
      <c r="A158" s="95">
        <v>45747</v>
      </c>
      <c r="B158" t="s">
        <v>183</v>
      </c>
      <c r="C158" t="s">
        <v>126</v>
      </c>
      <c r="D158" t="s">
        <v>29</v>
      </c>
      <c r="E158" s="16">
        <v>2181.8200000000002</v>
      </c>
    </row>
    <row r="159" spans="1:15">
      <c r="A159" s="95">
        <v>45747</v>
      </c>
      <c r="B159" t="s">
        <v>185</v>
      </c>
      <c r="C159" t="s">
        <v>130</v>
      </c>
      <c r="D159" t="s">
        <v>37</v>
      </c>
      <c r="E159" s="16">
        <v>174.55</v>
      </c>
      <c r="I159" s="102">
        <v>65</v>
      </c>
      <c r="J159" s="102">
        <f>I159-H155</f>
        <v>9</v>
      </c>
      <c r="K159" s="102"/>
    </row>
    <row r="160" spans="1:15">
      <c r="A160" s="95">
        <v>45747</v>
      </c>
      <c r="B160" t="s">
        <v>194</v>
      </c>
      <c r="C160" t="s">
        <v>132</v>
      </c>
      <c r="D160" t="s">
        <v>33</v>
      </c>
      <c r="E160" s="16">
        <v>181.82</v>
      </c>
      <c r="I160" s="102">
        <v>20</v>
      </c>
      <c r="J160" s="102">
        <f>I160-H156</f>
        <v>3</v>
      </c>
      <c r="K160" s="102"/>
    </row>
    <row r="161" spans="1:15">
      <c r="A161" s="95">
        <v>45747</v>
      </c>
      <c r="B161" t="s">
        <v>195</v>
      </c>
      <c r="C161" t="s">
        <v>134</v>
      </c>
      <c r="D161" t="s">
        <v>35</v>
      </c>
      <c r="E161" s="16">
        <v>242.42</v>
      </c>
      <c r="I161" s="102">
        <f>I159+I160</f>
        <v>85</v>
      </c>
      <c r="J161" s="105">
        <f>J159+J160</f>
        <v>12</v>
      </c>
      <c r="K161" s="104">
        <v>0.15</v>
      </c>
      <c r="M161" s="105">
        <v>25</v>
      </c>
      <c r="N161" s="104">
        <v>0.15</v>
      </c>
      <c r="O161" s="102" t="s">
        <v>249</v>
      </c>
    </row>
    <row r="162" spans="1:15">
      <c r="A162" s="95">
        <v>45747</v>
      </c>
      <c r="B162" t="s">
        <v>196</v>
      </c>
      <c r="C162" t="s">
        <v>136</v>
      </c>
      <c r="D162" t="s">
        <v>37</v>
      </c>
      <c r="E162" s="16">
        <v>33.94</v>
      </c>
    </row>
    <row r="163" spans="1:15">
      <c r="A163" s="95">
        <v>45747</v>
      </c>
      <c r="B163" t="s">
        <v>250</v>
      </c>
      <c r="C163" t="s">
        <v>95</v>
      </c>
      <c r="D163" t="s">
        <v>7</v>
      </c>
      <c r="E163" s="16">
        <v>2200</v>
      </c>
    </row>
    <row r="164" spans="1:15">
      <c r="A164" s="95">
        <v>45747</v>
      </c>
      <c r="B164" t="s">
        <v>198</v>
      </c>
      <c r="C164" t="s">
        <v>199</v>
      </c>
      <c r="D164" t="s">
        <v>17</v>
      </c>
      <c r="E164" s="89">
        <v>198.8</v>
      </c>
    </row>
    <row r="165" spans="1:15">
      <c r="A165" s="96"/>
      <c r="B165" s="91"/>
      <c r="C165" s="91"/>
      <c r="D165" s="91"/>
      <c r="E165" s="89"/>
    </row>
    <row r="166" spans="1:15">
      <c r="A166" s="96"/>
      <c r="B166" s="91"/>
      <c r="C166" s="91"/>
      <c r="D166" s="91"/>
      <c r="E166" s="89"/>
    </row>
    <row r="167" spans="1:15">
      <c r="A167" s="96"/>
      <c r="B167" s="91"/>
      <c r="C167" s="91"/>
      <c r="D167" s="91"/>
      <c r="E167" s="89"/>
    </row>
    <row r="168" spans="1:15">
      <c r="A168" s="96"/>
      <c r="B168" s="91"/>
      <c r="C168" s="91"/>
      <c r="D168" s="91"/>
      <c r="E168" s="89"/>
    </row>
    <row r="169" spans="1:15">
      <c r="A169" s="96"/>
      <c r="B169" s="91"/>
      <c r="C169" s="91"/>
      <c r="D169" s="91"/>
      <c r="E169" s="89"/>
    </row>
    <row r="170" spans="1:15">
      <c r="A170" s="96"/>
      <c r="B170" s="91"/>
      <c r="C170" s="91"/>
      <c r="D170" s="91"/>
      <c r="E170" s="89"/>
    </row>
    <row r="171" spans="1:15">
      <c r="A171" s="96"/>
      <c r="B171" s="91"/>
      <c r="C171" s="91"/>
      <c r="D171" s="91"/>
      <c r="E171" s="89"/>
    </row>
    <row r="172" spans="1:15">
      <c r="A172" s="96"/>
      <c r="B172" s="91"/>
      <c r="C172" s="91"/>
      <c r="D172" s="91"/>
      <c r="E172" s="89"/>
    </row>
    <row r="173" spans="1:15">
      <c r="A173" s="96"/>
      <c r="B173" s="91"/>
      <c r="C173" s="91"/>
      <c r="D173" s="91"/>
      <c r="E173" s="89"/>
    </row>
    <row r="174" spans="1:15">
      <c r="A174" s="96"/>
      <c r="B174" s="91"/>
      <c r="C174" s="91"/>
      <c r="D174" s="91"/>
      <c r="E174" s="89"/>
    </row>
    <row r="175" spans="1:15">
      <c r="A175" s="96"/>
      <c r="B175" s="91"/>
      <c r="C175" s="91"/>
      <c r="D175" s="91"/>
      <c r="E175" s="89"/>
    </row>
    <row r="176" spans="1:15">
      <c r="A176" s="96"/>
      <c r="B176" s="91"/>
      <c r="C176" s="91"/>
      <c r="D176" s="91"/>
      <c r="E176" s="89"/>
    </row>
    <row r="177" spans="1:5">
      <c r="A177" s="96"/>
      <c r="B177" s="91"/>
      <c r="C177" s="91"/>
      <c r="D177" s="91"/>
      <c r="E177" s="89"/>
    </row>
    <row r="178" spans="1:5">
      <c r="A178" s="96"/>
      <c r="B178" s="91"/>
      <c r="C178" s="91"/>
      <c r="D178" s="91"/>
      <c r="E178" s="89"/>
    </row>
    <row r="179" spans="1:5">
      <c r="A179" s="96"/>
      <c r="B179" s="91"/>
      <c r="C179" s="91"/>
      <c r="D179" s="91"/>
      <c r="E179" s="89"/>
    </row>
    <row r="180" spans="1:5">
      <c r="A180" s="96"/>
      <c r="B180" s="91"/>
      <c r="C180" s="91"/>
      <c r="D180" s="91"/>
      <c r="E180" s="89"/>
    </row>
    <row r="181" spans="1:5">
      <c r="A181" s="96"/>
      <c r="B181" s="91"/>
      <c r="C181" s="91"/>
      <c r="D181" s="91"/>
      <c r="E181" s="89"/>
    </row>
    <row r="182" spans="1:5">
      <c r="A182" s="96"/>
      <c r="B182" s="91"/>
      <c r="C182" s="91"/>
      <c r="D182" s="91"/>
      <c r="E182" s="89"/>
    </row>
    <row r="183" spans="1:5">
      <c r="A183" s="96"/>
      <c r="B183" s="91"/>
      <c r="C183" s="91"/>
      <c r="D183" s="91"/>
      <c r="E183" s="89"/>
    </row>
    <row r="184" spans="1:5">
      <c r="A184" s="96"/>
      <c r="B184" s="91"/>
      <c r="C184" s="91"/>
      <c r="D184" s="91"/>
      <c r="E184" s="89"/>
    </row>
    <row r="185" spans="1:5">
      <c r="A185" s="96"/>
      <c r="B185" s="91"/>
      <c r="C185" s="91"/>
      <c r="D185" s="91"/>
      <c r="E185" s="89"/>
    </row>
    <row r="186" spans="1:5">
      <c r="A186" s="96"/>
      <c r="B186" s="91"/>
      <c r="C186" s="91"/>
      <c r="D186" s="91"/>
      <c r="E186" s="89"/>
    </row>
    <row r="187" spans="1:5">
      <c r="A187" s="96"/>
      <c r="B187" s="91"/>
      <c r="C187" s="91"/>
      <c r="D187" s="91"/>
      <c r="E187" s="89"/>
    </row>
    <row r="188" spans="1:5">
      <c r="A188" s="96"/>
      <c r="B188" s="91"/>
      <c r="C188" s="91"/>
      <c r="D188" s="91"/>
      <c r="E188" s="89"/>
    </row>
    <row r="189" spans="1:5">
      <c r="A189" s="96"/>
      <c r="B189" s="91"/>
      <c r="C189" s="91"/>
      <c r="D189" s="91"/>
      <c r="E189" s="89"/>
    </row>
    <row r="190" spans="1:5">
      <c r="A190" s="96"/>
      <c r="B190" s="91"/>
      <c r="C190" s="91"/>
      <c r="D190" s="91"/>
      <c r="E190" s="89"/>
    </row>
    <row r="191" spans="1:5">
      <c r="A191" s="96"/>
      <c r="B191" s="91"/>
      <c r="C191" s="91"/>
      <c r="D191" s="91"/>
      <c r="E191" s="89"/>
    </row>
    <row r="192" spans="1:5">
      <c r="A192" s="96"/>
      <c r="B192" s="91"/>
      <c r="C192" s="91"/>
      <c r="D192" s="91"/>
      <c r="E192" s="89"/>
    </row>
    <row r="193" spans="1:5">
      <c r="A193" s="96"/>
      <c r="B193" s="91"/>
      <c r="C193" s="91"/>
      <c r="D193" s="91"/>
      <c r="E193" s="89"/>
    </row>
    <row r="194" spans="1:5">
      <c r="A194" s="96"/>
      <c r="B194" s="91"/>
      <c r="C194" s="91"/>
      <c r="D194" s="91"/>
      <c r="E194" s="89"/>
    </row>
    <row r="195" spans="1:5">
      <c r="A195" s="96"/>
      <c r="B195" s="91"/>
      <c r="C195" s="91"/>
      <c r="D195" s="91"/>
      <c r="E195" s="89"/>
    </row>
    <row r="196" spans="1:5">
      <c r="A196" s="96"/>
      <c r="B196" s="91"/>
      <c r="C196" s="91"/>
      <c r="D196" s="91"/>
      <c r="E196" s="89"/>
    </row>
    <row r="197" spans="1:5">
      <c r="A197" s="96"/>
      <c r="B197" s="91"/>
      <c r="C197" s="91"/>
      <c r="D197" s="91"/>
      <c r="E197" s="89"/>
    </row>
    <row r="198" spans="1:5">
      <c r="A198" s="96"/>
      <c r="B198" s="91"/>
      <c r="C198" s="91"/>
      <c r="D198" s="91"/>
      <c r="E198" s="89"/>
    </row>
    <row r="199" spans="1:5">
      <c r="A199" s="96"/>
      <c r="B199" s="91"/>
      <c r="C199" s="91"/>
      <c r="D199" s="91"/>
      <c r="E199" s="89"/>
    </row>
    <row r="200" spans="1:5">
      <c r="A200" s="96"/>
      <c r="B200" s="91"/>
      <c r="C200" s="91"/>
      <c r="D200" s="91"/>
      <c r="E200" s="89"/>
    </row>
    <row r="201" spans="1:5">
      <c r="A201" s="96"/>
      <c r="B201" s="91"/>
      <c r="C201" s="91"/>
      <c r="D201" s="91"/>
      <c r="E201" s="89"/>
    </row>
    <row r="202" spans="1:5">
      <c r="A202" s="96"/>
      <c r="B202" s="91"/>
      <c r="C202" s="91"/>
      <c r="D202" s="91"/>
      <c r="E202" s="89"/>
    </row>
    <row r="203" spans="1:5">
      <c r="A203" s="96"/>
      <c r="B203" s="91"/>
      <c r="C203" s="91"/>
      <c r="D203" s="91"/>
      <c r="E203" s="89"/>
    </row>
    <row r="204" spans="1:5">
      <c r="A204" s="96"/>
      <c r="B204" s="91"/>
      <c r="C204" s="91"/>
      <c r="D204" s="91"/>
      <c r="E204" s="89"/>
    </row>
    <row r="205" spans="1:5">
      <c r="A205" s="96"/>
      <c r="B205" s="91"/>
      <c r="C205" s="91"/>
      <c r="D205" s="91"/>
      <c r="E205" s="89"/>
    </row>
    <row r="206" spans="1:5">
      <c r="A206" s="96"/>
      <c r="B206" s="91"/>
      <c r="C206" s="91"/>
      <c r="D206" s="91"/>
      <c r="E206" s="89"/>
    </row>
    <row r="207" spans="1:5">
      <c r="A207" s="96"/>
      <c r="B207" s="91"/>
      <c r="C207" s="91"/>
      <c r="D207" s="91"/>
      <c r="E207" s="89"/>
    </row>
    <row r="208" spans="1:5">
      <c r="A208" s="96"/>
      <c r="B208" s="91"/>
      <c r="C208" s="91"/>
      <c r="D208" s="91"/>
      <c r="E208" s="89"/>
    </row>
    <row r="209" spans="1:5">
      <c r="A209" s="96"/>
      <c r="B209" s="91"/>
      <c r="C209" s="91"/>
      <c r="D209" s="91"/>
      <c r="E209" s="89"/>
    </row>
    <row r="210" spans="1:5">
      <c r="A210" s="96"/>
      <c r="B210" s="91"/>
      <c r="C210" s="91"/>
      <c r="D210" s="91"/>
      <c r="E210" s="89"/>
    </row>
    <row r="211" spans="1:5">
      <c r="A211" s="96"/>
      <c r="B211" s="91"/>
      <c r="C211" s="91"/>
      <c r="D211" s="91"/>
      <c r="E211" s="89"/>
    </row>
    <row r="212" spans="1:5">
      <c r="A212" s="96"/>
      <c r="B212" s="91"/>
      <c r="C212" s="91"/>
      <c r="D212" s="91"/>
      <c r="E212" s="89"/>
    </row>
    <row r="213" spans="1:5">
      <c r="A213" s="96"/>
      <c r="B213" s="91"/>
      <c r="C213" s="91"/>
      <c r="D213" s="91"/>
      <c r="E213" s="89"/>
    </row>
    <row r="214" spans="1:5">
      <c r="A214" s="96"/>
      <c r="B214" s="91"/>
      <c r="C214" s="91"/>
      <c r="D214" s="91"/>
      <c r="E214" s="89"/>
    </row>
    <row r="215" spans="1:5">
      <c r="A215" s="96"/>
      <c r="B215" s="91"/>
      <c r="C215" s="91"/>
      <c r="D215" s="91"/>
      <c r="E215" s="89"/>
    </row>
    <row r="216" spans="1:5">
      <c r="A216" s="96"/>
      <c r="B216" s="91"/>
      <c r="C216" s="91"/>
      <c r="D216" s="91"/>
      <c r="E216" s="89"/>
    </row>
    <row r="217" spans="1:5">
      <c r="A217" s="96"/>
      <c r="B217" s="91"/>
      <c r="C217" s="91"/>
      <c r="D217" s="91"/>
      <c r="E217" s="89"/>
    </row>
    <row r="218" spans="1:5">
      <c r="A218" s="96"/>
      <c r="B218" s="91"/>
      <c r="C218" s="91"/>
      <c r="D218" s="91"/>
      <c r="E218" s="89"/>
    </row>
    <row r="219" spans="1:5">
      <c r="A219" s="96"/>
      <c r="B219" s="91"/>
      <c r="C219" s="91"/>
      <c r="D219" s="91"/>
      <c r="E219" s="89"/>
    </row>
    <row r="220" spans="1:5">
      <c r="A220" s="96"/>
      <c r="B220" s="91"/>
      <c r="C220" s="91"/>
      <c r="D220" s="91"/>
      <c r="E220" s="89"/>
    </row>
    <row r="221" spans="1:5">
      <c r="A221" s="96"/>
      <c r="B221" s="91"/>
      <c r="C221" s="91"/>
      <c r="D221" s="91"/>
      <c r="E221" s="89"/>
    </row>
    <row r="222" spans="1:5">
      <c r="A222" s="96"/>
      <c r="B222" s="91"/>
      <c r="C222" s="91"/>
      <c r="D222" s="91"/>
      <c r="E222" s="89"/>
    </row>
    <row r="223" spans="1:5">
      <c r="A223" s="96"/>
      <c r="B223" s="91"/>
      <c r="C223" s="91"/>
      <c r="D223" s="91"/>
      <c r="E223" s="89"/>
    </row>
    <row r="224" spans="1:5">
      <c r="A224" s="96"/>
      <c r="B224" s="91"/>
      <c r="C224" s="91"/>
      <c r="D224" s="91"/>
      <c r="E224" s="89"/>
    </row>
    <row r="225" spans="1:5">
      <c r="A225" s="96"/>
      <c r="B225" s="91"/>
      <c r="C225" s="91"/>
      <c r="D225" s="91"/>
      <c r="E225" s="89"/>
    </row>
    <row r="226" spans="1:5">
      <c r="A226" s="96"/>
      <c r="B226" s="91"/>
      <c r="C226" s="91"/>
      <c r="D226" s="91"/>
      <c r="E226" s="89"/>
    </row>
    <row r="227" spans="1:5">
      <c r="A227" s="96"/>
      <c r="B227" s="91"/>
      <c r="C227" s="91"/>
      <c r="D227" s="91"/>
      <c r="E227" s="89"/>
    </row>
    <row r="228" spans="1:5">
      <c r="A228" s="96"/>
      <c r="B228" s="91"/>
      <c r="C228" s="91"/>
      <c r="D228" s="91"/>
      <c r="E228" s="89"/>
    </row>
    <row r="229" spans="1:5">
      <c r="A229" s="96"/>
      <c r="B229" s="91"/>
      <c r="C229" s="91"/>
      <c r="D229" s="91"/>
      <c r="E229" s="89"/>
    </row>
    <row r="230" spans="1:5">
      <c r="A230" s="96"/>
      <c r="B230" s="91"/>
      <c r="C230" s="91"/>
      <c r="D230" s="91"/>
      <c r="E230" s="89"/>
    </row>
    <row r="231" spans="1:5">
      <c r="A231" s="96"/>
      <c r="B231" s="91"/>
      <c r="C231" s="91"/>
      <c r="D231" s="91"/>
      <c r="E231" s="89"/>
    </row>
    <row r="232" spans="1:5">
      <c r="A232" s="96"/>
      <c r="B232" s="91"/>
      <c r="C232" s="91"/>
      <c r="D232" s="91"/>
      <c r="E232" s="89"/>
    </row>
    <row r="233" spans="1:5">
      <c r="A233" s="96"/>
      <c r="B233" s="91"/>
      <c r="C233" s="91"/>
      <c r="D233" s="91"/>
      <c r="E233" s="89"/>
    </row>
    <row r="234" spans="1:5">
      <c r="A234" s="96"/>
      <c r="B234" s="91"/>
      <c r="C234" s="91"/>
      <c r="D234" s="91"/>
      <c r="E234" s="89"/>
    </row>
    <row r="235" spans="1:5">
      <c r="A235" s="96"/>
      <c r="B235" s="91"/>
      <c r="C235" s="91"/>
      <c r="D235" s="91"/>
      <c r="E235" s="89"/>
    </row>
    <row r="236" spans="1:5">
      <c r="A236" s="96"/>
      <c r="B236" s="91"/>
      <c r="C236" s="91"/>
      <c r="D236" s="91"/>
      <c r="E236" s="89"/>
    </row>
    <row r="237" spans="1:5">
      <c r="A237" s="96"/>
      <c r="B237" s="91"/>
      <c r="C237" s="91"/>
      <c r="D237" s="91"/>
      <c r="E237" s="89"/>
    </row>
    <row r="238" spans="1:5">
      <c r="A238" s="96"/>
      <c r="B238" s="91"/>
      <c r="C238" s="91"/>
      <c r="D238" s="91"/>
      <c r="E238" s="89"/>
    </row>
    <row r="239" spans="1:5">
      <c r="A239" s="96"/>
      <c r="B239" s="91"/>
      <c r="C239" s="91"/>
      <c r="D239" s="91"/>
      <c r="E239" s="89"/>
    </row>
    <row r="240" spans="1:5">
      <c r="A240" s="96"/>
      <c r="B240" s="91"/>
      <c r="C240" s="91"/>
      <c r="D240" s="91"/>
      <c r="E240" s="89"/>
    </row>
    <row r="241" spans="1:5">
      <c r="A241" s="96"/>
      <c r="B241" s="91"/>
      <c r="C241" s="91"/>
      <c r="D241" s="91"/>
      <c r="E241" s="89"/>
    </row>
    <row r="242" spans="1:5">
      <c r="A242" s="96"/>
      <c r="B242" s="91"/>
      <c r="C242" s="91"/>
      <c r="D242" s="91"/>
      <c r="E242" s="89"/>
    </row>
    <row r="243" spans="1:5">
      <c r="A243" s="96"/>
      <c r="B243" s="91"/>
      <c r="C243" s="91"/>
      <c r="D243" s="91"/>
      <c r="E243" s="89"/>
    </row>
    <row r="244" spans="1:5">
      <c r="A244" s="96"/>
      <c r="B244" s="91"/>
      <c r="C244" s="91"/>
      <c r="D244" s="91"/>
      <c r="E244" s="89"/>
    </row>
    <row r="245" spans="1:5">
      <c r="A245" s="96"/>
      <c r="B245" s="91"/>
      <c r="C245" s="91"/>
      <c r="D245" s="91"/>
      <c r="E245" s="89"/>
    </row>
    <row r="246" spans="1:5">
      <c r="A246" s="96"/>
      <c r="B246" s="91"/>
      <c r="C246" s="91"/>
      <c r="D246" s="91"/>
      <c r="E246" s="89"/>
    </row>
    <row r="247" spans="1:5">
      <c r="A247" s="96"/>
      <c r="B247" s="91"/>
      <c r="C247" s="91"/>
      <c r="D247" s="91"/>
      <c r="E247" s="89"/>
    </row>
    <row r="248" spans="1:5">
      <c r="A248" s="96"/>
      <c r="B248" s="91"/>
      <c r="C248" s="91"/>
      <c r="D248" s="91"/>
      <c r="E248" s="89"/>
    </row>
    <row r="249" spans="1:5">
      <c r="A249" s="96"/>
      <c r="B249" s="91"/>
      <c r="C249" s="91"/>
      <c r="D249" s="91"/>
      <c r="E249" s="89"/>
    </row>
    <row r="250" spans="1:5">
      <c r="A250" s="96"/>
      <c r="B250" s="91"/>
      <c r="C250" s="91"/>
      <c r="D250" s="91"/>
      <c r="E250" s="89"/>
    </row>
    <row r="251" spans="1:5">
      <c r="A251" s="96"/>
      <c r="B251" s="91"/>
      <c r="C251" s="91"/>
      <c r="D251" s="91"/>
      <c r="E251" s="89"/>
    </row>
    <row r="252" spans="1:5">
      <c r="A252" s="96"/>
      <c r="B252" s="91"/>
      <c r="C252" s="91"/>
      <c r="D252" s="91"/>
      <c r="E252" s="89"/>
    </row>
    <row r="253" spans="1:5">
      <c r="A253" s="96"/>
      <c r="B253" s="91"/>
      <c r="C253" s="91"/>
      <c r="D253" s="91"/>
      <c r="E253" s="89"/>
    </row>
    <row r="254" spans="1:5">
      <c r="A254" s="96"/>
      <c r="B254" s="91"/>
      <c r="C254" s="91"/>
      <c r="D254" s="91"/>
      <c r="E254" s="89"/>
    </row>
    <row r="255" spans="1:5">
      <c r="A255" s="96"/>
      <c r="B255" s="91"/>
      <c r="C255" s="91"/>
      <c r="D255" s="91"/>
      <c r="E255" s="89"/>
    </row>
    <row r="256" spans="1:5">
      <c r="A256" s="96"/>
      <c r="B256" s="91"/>
      <c r="C256" s="91"/>
      <c r="D256" s="91"/>
      <c r="E256" s="89"/>
    </row>
    <row r="257" spans="1:5">
      <c r="A257" s="96"/>
      <c r="B257" s="91"/>
      <c r="C257" s="91"/>
      <c r="D257" s="91"/>
      <c r="E257" s="89"/>
    </row>
    <row r="258" spans="1:5">
      <c r="A258" s="96"/>
      <c r="B258" s="91"/>
      <c r="C258" s="91"/>
      <c r="D258" s="91"/>
      <c r="E258" s="89"/>
    </row>
    <row r="259" spans="1:5">
      <c r="A259" s="96"/>
      <c r="B259" s="91"/>
      <c r="C259" s="91"/>
      <c r="D259" s="91"/>
      <c r="E259" s="89"/>
    </row>
    <row r="260" spans="1:5">
      <c r="A260" s="96"/>
      <c r="B260" s="91"/>
      <c r="C260" s="91"/>
      <c r="D260" s="91"/>
      <c r="E260" s="89"/>
    </row>
    <row r="261" spans="1:5">
      <c r="A261" s="96"/>
      <c r="B261" s="91"/>
      <c r="C261" s="91"/>
      <c r="D261" s="91"/>
      <c r="E261" s="89"/>
    </row>
    <row r="262" spans="1:5">
      <c r="A262" s="96"/>
      <c r="B262" s="91"/>
      <c r="C262" s="91"/>
      <c r="D262" s="91"/>
      <c r="E262" s="89"/>
    </row>
    <row r="263" spans="1:5">
      <c r="A263" s="96"/>
      <c r="B263" s="91"/>
      <c r="C263" s="91"/>
      <c r="D263" s="91"/>
      <c r="E263" s="89"/>
    </row>
    <row r="264" spans="1:5">
      <c r="A264" s="96"/>
      <c r="B264" s="91"/>
      <c r="C264" s="91"/>
      <c r="D264" s="91"/>
      <c r="E264" s="89"/>
    </row>
    <row r="265" spans="1:5">
      <c r="A265" s="96"/>
      <c r="B265" s="91"/>
      <c r="C265" s="91"/>
      <c r="D265" s="91"/>
      <c r="E265" s="89"/>
    </row>
    <row r="266" spans="1:5">
      <c r="A266" s="96"/>
      <c r="B266" s="91"/>
      <c r="C266" s="91"/>
      <c r="D266" s="91"/>
      <c r="E266" s="89"/>
    </row>
    <row r="267" spans="1:5">
      <c r="A267" s="96"/>
      <c r="B267" s="91"/>
      <c r="C267" s="91"/>
      <c r="D267" s="91"/>
      <c r="E267" s="89"/>
    </row>
    <row r="268" spans="1:5">
      <c r="A268" s="96"/>
      <c r="B268" s="91"/>
      <c r="C268" s="91"/>
      <c r="D268" s="91"/>
      <c r="E268" s="89"/>
    </row>
    <row r="269" spans="1:5">
      <c r="A269" s="96"/>
      <c r="B269" s="91"/>
      <c r="C269" s="91"/>
      <c r="D269" s="91"/>
      <c r="E269" s="89"/>
    </row>
    <row r="270" spans="1:5">
      <c r="A270" s="96"/>
      <c r="B270" s="91"/>
      <c r="C270" s="91"/>
      <c r="D270" s="91"/>
      <c r="E270" s="89"/>
    </row>
    <row r="271" spans="1:5">
      <c r="A271" s="96"/>
      <c r="B271" s="91"/>
      <c r="C271" s="91"/>
      <c r="D271" s="91"/>
      <c r="E271" s="89"/>
    </row>
    <row r="272" spans="1:5">
      <c r="A272" s="96"/>
      <c r="B272" s="91"/>
      <c r="C272" s="91"/>
      <c r="D272" s="91"/>
      <c r="E272" s="89"/>
    </row>
    <row r="273" spans="1:5">
      <c r="A273" s="96"/>
      <c r="B273" s="91"/>
      <c r="C273" s="91"/>
      <c r="D273" s="91"/>
      <c r="E273" s="89"/>
    </row>
    <row r="274" spans="1:5">
      <c r="A274" s="96"/>
      <c r="B274" s="91"/>
      <c r="C274" s="91"/>
      <c r="D274" s="91"/>
      <c r="E274" s="89"/>
    </row>
    <row r="275" spans="1:5">
      <c r="A275" s="96"/>
      <c r="B275" s="91"/>
      <c r="C275" s="91"/>
      <c r="D275" s="91"/>
      <c r="E275" s="89"/>
    </row>
    <row r="276" spans="1:5">
      <c r="A276" s="96"/>
      <c r="B276" s="91"/>
      <c r="C276" s="91"/>
      <c r="D276" s="91"/>
      <c r="E276" s="89"/>
    </row>
    <row r="277" spans="1:5">
      <c r="A277" s="96"/>
      <c r="B277" s="91"/>
      <c r="C277" s="91"/>
      <c r="D277" s="91"/>
      <c r="E277" s="89"/>
    </row>
    <row r="278" spans="1:5">
      <c r="A278" s="96"/>
      <c r="B278" s="91"/>
      <c r="C278" s="91"/>
      <c r="D278" s="91"/>
      <c r="E278" s="89"/>
    </row>
    <row r="279" spans="1:5">
      <c r="A279" s="96"/>
      <c r="B279" s="91"/>
      <c r="C279" s="91"/>
      <c r="D279" s="91"/>
      <c r="E279" s="89"/>
    </row>
    <row r="280" spans="1:5">
      <c r="A280" s="96"/>
      <c r="B280" s="91"/>
      <c r="C280" s="91"/>
      <c r="D280" s="91"/>
      <c r="E280" s="89"/>
    </row>
    <row r="281" spans="1:5">
      <c r="A281" s="96"/>
      <c r="B281" s="91"/>
      <c r="C281" s="91"/>
      <c r="D281" s="91"/>
      <c r="E281" s="89"/>
    </row>
    <row r="282" spans="1:5">
      <c r="A282" s="96"/>
      <c r="B282" s="91"/>
      <c r="C282" s="91"/>
      <c r="D282" s="91"/>
      <c r="E282" s="89"/>
    </row>
    <row r="283" spans="1:5">
      <c r="A283" s="96"/>
      <c r="B283" s="91"/>
      <c r="C283" s="91"/>
      <c r="D283" s="91"/>
      <c r="E283" s="89"/>
    </row>
    <row r="284" spans="1:5">
      <c r="A284" s="96"/>
      <c r="B284" s="91"/>
      <c r="C284" s="91"/>
      <c r="D284" s="91"/>
      <c r="E284" s="89"/>
    </row>
    <row r="285" spans="1:5">
      <c r="A285" s="96"/>
      <c r="B285" s="91"/>
      <c r="C285" s="91"/>
      <c r="D285" s="91"/>
      <c r="E285" s="89"/>
    </row>
    <row r="286" spans="1:5">
      <c r="A286" s="96"/>
      <c r="B286" s="91"/>
      <c r="C286" s="91"/>
      <c r="D286" s="91"/>
      <c r="E286" s="89"/>
    </row>
    <row r="287" spans="1:5">
      <c r="A287" s="96"/>
      <c r="B287" s="91"/>
      <c r="C287" s="91"/>
      <c r="D287" s="91"/>
      <c r="E287" s="89"/>
    </row>
    <row r="288" spans="1:5">
      <c r="A288" s="96"/>
      <c r="B288" s="91"/>
      <c r="C288" s="91"/>
      <c r="D288" s="91"/>
      <c r="E288" s="89"/>
    </row>
    <row r="289" spans="1:5">
      <c r="A289" s="96"/>
      <c r="B289" s="91"/>
      <c r="C289" s="91"/>
      <c r="D289" s="91"/>
      <c r="E289" s="89"/>
    </row>
    <row r="290" spans="1:5">
      <c r="A290" s="96"/>
      <c r="B290" s="91"/>
      <c r="C290" s="91"/>
      <c r="D290" s="91"/>
      <c r="E290" s="89"/>
    </row>
    <row r="291" spans="1:5">
      <c r="A291" s="96"/>
      <c r="B291" s="91"/>
      <c r="C291" s="91"/>
      <c r="D291" s="91"/>
      <c r="E291" s="89"/>
    </row>
    <row r="292" spans="1:5">
      <c r="A292" s="96"/>
      <c r="B292" s="91"/>
      <c r="C292" s="91"/>
      <c r="D292" s="91"/>
      <c r="E292" s="89"/>
    </row>
    <row r="293" spans="1:5">
      <c r="A293" s="96"/>
      <c r="B293" s="91"/>
      <c r="C293" s="91"/>
      <c r="D293" s="91"/>
      <c r="E293" s="89"/>
    </row>
    <row r="294" spans="1:5">
      <c r="A294" s="96"/>
      <c r="B294" s="91"/>
      <c r="C294" s="91"/>
      <c r="D294" s="91"/>
      <c r="E294" s="89"/>
    </row>
    <row r="295" spans="1:5">
      <c r="A295" s="96"/>
      <c r="B295" s="91"/>
      <c r="C295" s="91"/>
      <c r="D295" s="91"/>
      <c r="E295" s="89"/>
    </row>
    <row r="296" spans="1:5">
      <c r="A296" s="96"/>
      <c r="B296" s="91"/>
      <c r="C296" s="91"/>
      <c r="D296" s="91"/>
      <c r="E296" s="89"/>
    </row>
    <row r="297" spans="1:5">
      <c r="A297" s="96"/>
      <c r="B297" s="91"/>
      <c r="C297" s="91"/>
      <c r="D297" s="91"/>
      <c r="E297" s="89"/>
    </row>
    <row r="298" spans="1:5">
      <c r="A298" s="96"/>
      <c r="B298" s="91"/>
      <c r="C298" s="91"/>
      <c r="D298" s="91"/>
      <c r="E298" s="89"/>
    </row>
    <row r="299" spans="1:5">
      <c r="A299" s="96"/>
      <c r="B299" s="91"/>
      <c r="C299" s="91"/>
      <c r="D299" s="91"/>
      <c r="E299" s="89"/>
    </row>
    <row r="300" spans="1:5">
      <c r="A300" s="96"/>
      <c r="B300" s="91"/>
      <c r="C300" s="91"/>
      <c r="D300" s="91"/>
      <c r="E300" s="89"/>
    </row>
    <row r="301" spans="1:5">
      <c r="A301" s="96"/>
      <c r="B301" s="91"/>
      <c r="C301" s="91"/>
      <c r="D301" s="91"/>
      <c r="E301" s="89"/>
    </row>
    <row r="302" spans="1:5">
      <c r="A302" s="96"/>
      <c r="B302" s="91"/>
      <c r="C302" s="91"/>
      <c r="D302" s="91"/>
      <c r="E302" s="89"/>
    </row>
    <row r="303" spans="1:5">
      <c r="E303" s="16"/>
    </row>
    <row r="304" spans="1:5">
      <c r="E304" s="16"/>
    </row>
    <row r="305" spans="5:5">
      <c r="E305" s="16"/>
    </row>
    <row r="306" spans="5:5">
      <c r="E306" s="16"/>
    </row>
    <row r="307" spans="5:5">
      <c r="E307" s="16"/>
    </row>
    <row r="308" spans="5:5">
      <c r="E308" s="16"/>
    </row>
    <row r="309" spans="5:5">
      <c r="E309" s="16"/>
    </row>
    <row r="310" spans="5:5">
      <c r="E310" s="16"/>
    </row>
    <row r="311" spans="5:5">
      <c r="E311" s="16"/>
    </row>
    <row r="312" spans="5:5">
      <c r="E312" s="16"/>
    </row>
    <row r="313" spans="5:5">
      <c r="E313" s="16"/>
    </row>
    <row r="314" spans="5:5">
      <c r="E314" s="16"/>
    </row>
    <row r="315" spans="5:5">
      <c r="E315" s="16"/>
    </row>
    <row r="316" spans="5:5">
      <c r="E316" s="16"/>
    </row>
    <row r="317" spans="5:5">
      <c r="E317" s="16"/>
    </row>
    <row r="318" spans="5:5">
      <c r="E318" s="16"/>
    </row>
    <row r="319" spans="5:5">
      <c r="E319" s="16"/>
    </row>
    <row r="320" spans="5:5">
      <c r="E320" s="16"/>
    </row>
    <row r="321" spans="5:5">
      <c r="E321" s="16"/>
    </row>
    <row r="322" spans="5:5">
      <c r="E322" s="16"/>
    </row>
    <row r="323" spans="5:5">
      <c r="E323" s="16"/>
    </row>
    <row r="324" spans="5:5">
      <c r="E324" s="16"/>
    </row>
    <row r="325" spans="5:5">
      <c r="E325" s="16"/>
    </row>
    <row r="326" spans="5:5">
      <c r="E326" s="16"/>
    </row>
    <row r="327" spans="5:5">
      <c r="E327" s="16"/>
    </row>
    <row r="328" spans="5:5">
      <c r="E328" s="16"/>
    </row>
    <row r="329" spans="5:5">
      <c r="E329" s="16"/>
    </row>
    <row r="330" spans="5:5">
      <c r="E330" s="16"/>
    </row>
    <row r="331" spans="5:5">
      <c r="E331" s="16"/>
    </row>
    <row r="332" spans="5:5">
      <c r="E332" s="16"/>
    </row>
    <row r="333" spans="5:5">
      <c r="E333" s="16"/>
    </row>
    <row r="334" spans="5:5">
      <c r="E334" s="16"/>
    </row>
    <row r="335" spans="5:5">
      <c r="E335" s="16"/>
    </row>
    <row r="336" spans="5:5">
      <c r="E336" s="16"/>
    </row>
    <row r="337" spans="5:5">
      <c r="E337" s="16"/>
    </row>
    <row r="338" spans="5:5">
      <c r="E338" s="16"/>
    </row>
    <row r="339" spans="5:5">
      <c r="E339" s="16"/>
    </row>
    <row r="340" spans="5:5">
      <c r="E340" s="16"/>
    </row>
    <row r="341" spans="5:5">
      <c r="E341" s="16"/>
    </row>
    <row r="342" spans="5:5">
      <c r="E342" s="16"/>
    </row>
    <row r="343" spans="5:5">
      <c r="E343" s="16"/>
    </row>
    <row r="344" spans="5:5">
      <c r="E344" s="16"/>
    </row>
    <row r="345" spans="5:5">
      <c r="E345" s="16"/>
    </row>
    <row r="346" spans="5:5">
      <c r="E346" s="16"/>
    </row>
    <row r="347" spans="5:5">
      <c r="E347" s="16"/>
    </row>
    <row r="348" spans="5:5">
      <c r="E348" s="16"/>
    </row>
    <row r="349" spans="5:5">
      <c r="E349" s="16"/>
    </row>
    <row r="350" spans="5:5">
      <c r="E350" s="16"/>
    </row>
    <row r="351" spans="5:5">
      <c r="E351" s="16"/>
    </row>
    <row r="352" spans="5:5">
      <c r="E352" s="16"/>
    </row>
    <row r="353" spans="5:5">
      <c r="E353" s="16"/>
    </row>
    <row r="354" spans="5:5">
      <c r="E354" s="16"/>
    </row>
    <row r="355" spans="5:5">
      <c r="E355" s="16"/>
    </row>
    <row r="356" spans="5:5">
      <c r="E356" s="16"/>
    </row>
    <row r="357" spans="5:5">
      <c r="E357" s="16"/>
    </row>
    <row r="358" spans="5:5">
      <c r="E358" s="16"/>
    </row>
    <row r="359" spans="5:5">
      <c r="E359" s="16"/>
    </row>
    <row r="360" spans="5:5">
      <c r="E360" s="16"/>
    </row>
    <row r="361" spans="5:5">
      <c r="E361" s="16"/>
    </row>
    <row r="362" spans="5:5">
      <c r="E362" s="16"/>
    </row>
    <row r="363" spans="5:5">
      <c r="E363" s="16"/>
    </row>
    <row r="364" spans="5:5">
      <c r="E364" s="16"/>
    </row>
    <row r="365" spans="5:5">
      <c r="E365" s="16"/>
    </row>
    <row r="366" spans="5:5">
      <c r="E366" s="16"/>
    </row>
    <row r="367" spans="5:5">
      <c r="E367" s="16"/>
    </row>
    <row r="368" spans="5:5">
      <c r="E368" s="16"/>
    </row>
    <row r="369" spans="5:5">
      <c r="E369" s="16"/>
    </row>
    <row r="370" spans="5:5">
      <c r="E370" s="16"/>
    </row>
    <row r="371" spans="5:5">
      <c r="E371" s="16"/>
    </row>
    <row r="372" spans="5:5">
      <c r="E372" s="16"/>
    </row>
    <row r="373" spans="5:5">
      <c r="E373" s="16"/>
    </row>
    <row r="374" spans="5:5">
      <c r="E374" s="16"/>
    </row>
    <row r="375" spans="5:5">
      <c r="E375" s="16"/>
    </row>
    <row r="376" spans="5:5">
      <c r="E376" s="16"/>
    </row>
    <row r="377" spans="5:5">
      <c r="E377" s="16"/>
    </row>
    <row r="378" spans="5:5">
      <c r="E378" s="16"/>
    </row>
    <row r="379" spans="5:5">
      <c r="E379" s="16"/>
    </row>
    <row r="380" spans="5:5">
      <c r="E380" s="16"/>
    </row>
    <row r="381" spans="5:5">
      <c r="E381" s="16"/>
    </row>
    <row r="382" spans="5:5">
      <c r="E382" s="16"/>
    </row>
    <row r="383" spans="5:5">
      <c r="E383" s="16"/>
    </row>
    <row r="384" spans="5:5">
      <c r="E384" s="16"/>
    </row>
    <row r="385" spans="5:5">
      <c r="E385" s="16"/>
    </row>
    <row r="386" spans="5:5">
      <c r="E386" s="16"/>
    </row>
    <row r="387" spans="5:5">
      <c r="E387" s="16"/>
    </row>
    <row r="388" spans="5:5">
      <c r="E388" s="16"/>
    </row>
    <row r="389" spans="5:5">
      <c r="E389" s="16"/>
    </row>
    <row r="390" spans="5:5">
      <c r="E390" s="16"/>
    </row>
    <row r="391" spans="5:5">
      <c r="E391" s="16"/>
    </row>
    <row r="392" spans="5:5">
      <c r="E392" s="16"/>
    </row>
    <row r="393" spans="5:5">
      <c r="E393" s="16"/>
    </row>
    <row r="394" spans="5:5">
      <c r="E394" s="16"/>
    </row>
    <row r="395" spans="5:5">
      <c r="E395" s="16"/>
    </row>
    <row r="396" spans="5:5">
      <c r="E396" s="16"/>
    </row>
    <row r="397" spans="5:5">
      <c r="E397" s="16"/>
    </row>
    <row r="398" spans="5:5">
      <c r="E398" s="16"/>
    </row>
    <row r="399" spans="5:5">
      <c r="E399" s="16"/>
    </row>
    <row r="400" spans="5:5">
      <c r="E400" s="16"/>
    </row>
    <row r="401" spans="5:5">
      <c r="E401" s="16"/>
    </row>
    <row r="402" spans="5:5">
      <c r="E402" s="16"/>
    </row>
    <row r="403" spans="5:5">
      <c r="E403" s="16"/>
    </row>
    <row r="404" spans="5:5">
      <c r="E404" s="16"/>
    </row>
    <row r="405" spans="5:5">
      <c r="E405" s="16"/>
    </row>
    <row r="406" spans="5:5">
      <c r="E406" s="16"/>
    </row>
    <row r="407" spans="5:5">
      <c r="E407" s="16"/>
    </row>
    <row r="408" spans="5:5">
      <c r="E408" s="16"/>
    </row>
    <row r="409" spans="5:5">
      <c r="E409" s="16"/>
    </row>
    <row r="410" spans="5:5">
      <c r="E410" s="16"/>
    </row>
    <row r="411" spans="5:5">
      <c r="E411" s="16"/>
    </row>
    <row r="412" spans="5:5">
      <c r="E412" s="16"/>
    </row>
    <row r="413" spans="5:5">
      <c r="E413" s="16"/>
    </row>
    <row r="414" spans="5:5">
      <c r="E414" s="16"/>
    </row>
    <row r="415" spans="5:5">
      <c r="E415" s="16"/>
    </row>
    <row r="416" spans="5:5">
      <c r="E416" s="16"/>
    </row>
    <row r="417" spans="5:5">
      <c r="E417" s="16"/>
    </row>
    <row r="418" spans="5:5">
      <c r="E418" s="16"/>
    </row>
    <row r="419" spans="5:5">
      <c r="E419" s="16"/>
    </row>
    <row r="420" spans="5:5">
      <c r="E420" s="16"/>
    </row>
    <row r="421" spans="5:5">
      <c r="E421" s="16"/>
    </row>
    <row r="422" spans="5:5">
      <c r="E422" s="16"/>
    </row>
    <row r="423" spans="5:5">
      <c r="E423" s="16"/>
    </row>
    <row r="424" spans="5:5">
      <c r="E424" s="16"/>
    </row>
    <row r="425" spans="5:5">
      <c r="E425" s="16"/>
    </row>
    <row r="426" spans="5:5">
      <c r="E426" s="16"/>
    </row>
    <row r="427" spans="5:5">
      <c r="E427" s="16"/>
    </row>
    <row r="428" spans="5:5">
      <c r="E428" s="16"/>
    </row>
    <row r="429" spans="5:5">
      <c r="E429" s="16"/>
    </row>
    <row r="430" spans="5:5">
      <c r="E430" s="16"/>
    </row>
    <row r="431" spans="5:5">
      <c r="E431" s="16"/>
    </row>
    <row r="432" spans="5:5">
      <c r="E432" s="16"/>
    </row>
    <row r="433" spans="5:5">
      <c r="E433" s="16"/>
    </row>
    <row r="434" spans="5:5">
      <c r="E434" s="16"/>
    </row>
    <row r="435" spans="5:5">
      <c r="E435" s="16"/>
    </row>
    <row r="436" spans="5:5">
      <c r="E436" s="16"/>
    </row>
    <row r="437" spans="5:5">
      <c r="E437" s="16"/>
    </row>
    <row r="438" spans="5:5">
      <c r="E438" s="16"/>
    </row>
    <row r="439" spans="5:5">
      <c r="E439" s="16"/>
    </row>
    <row r="440" spans="5:5">
      <c r="E440" s="16"/>
    </row>
    <row r="441" spans="5:5">
      <c r="E441" s="16"/>
    </row>
    <row r="442" spans="5:5">
      <c r="E442" s="16"/>
    </row>
    <row r="443" spans="5:5">
      <c r="E443" s="16"/>
    </row>
    <row r="444" spans="5:5">
      <c r="E444" s="16"/>
    </row>
    <row r="445" spans="5:5">
      <c r="E445" s="16"/>
    </row>
    <row r="446" spans="5:5">
      <c r="E446" s="16"/>
    </row>
    <row r="447" spans="5:5">
      <c r="E447" s="16"/>
    </row>
    <row r="448" spans="5:5">
      <c r="E448" s="16"/>
    </row>
    <row r="449" spans="5:5">
      <c r="E449" s="16"/>
    </row>
    <row r="450" spans="5:5">
      <c r="E450" s="16"/>
    </row>
    <row r="451" spans="5:5">
      <c r="E451" s="16"/>
    </row>
    <row r="452" spans="5:5">
      <c r="E452" s="16"/>
    </row>
    <row r="453" spans="5:5">
      <c r="E453" s="16"/>
    </row>
    <row r="454" spans="5:5">
      <c r="E454" s="16"/>
    </row>
    <row r="455" spans="5:5">
      <c r="E455" s="16"/>
    </row>
    <row r="456" spans="5:5">
      <c r="E456" s="16"/>
    </row>
    <row r="457" spans="5:5">
      <c r="E457" s="16"/>
    </row>
    <row r="458" spans="5:5">
      <c r="E458" s="16"/>
    </row>
    <row r="459" spans="5:5">
      <c r="E459" s="16"/>
    </row>
    <row r="460" spans="5:5">
      <c r="E460" s="16"/>
    </row>
    <row r="461" spans="5:5">
      <c r="E461" s="16"/>
    </row>
    <row r="462" spans="5:5">
      <c r="E462" s="16"/>
    </row>
    <row r="463" spans="5:5">
      <c r="E463" s="16"/>
    </row>
    <row r="464" spans="5:5">
      <c r="E464" s="16"/>
    </row>
    <row r="465" spans="5:5">
      <c r="E465" s="16"/>
    </row>
    <row r="466" spans="5:5">
      <c r="E466" s="16"/>
    </row>
    <row r="467" spans="5:5">
      <c r="E467" s="16"/>
    </row>
    <row r="468" spans="5:5">
      <c r="E468" s="16"/>
    </row>
    <row r="469" spans="5:5">
      <c r="E469" s="16"/>
    </row>
    <row r="470" spans="5:5">
      <c r="E470" s="16"/>
    </row>
    <row r="471" spans="5:5">
      <c r="E471" s="16"/>
    </row>
    <row r="472" spans="5:5">
      <c r="E472" s="16"/>
    </row>
    <row r="473" spans="5:5">
      <c r="E473" s="16"/>
    </row>
    <row r="474" spans="5:5">
      <c r="E474" s="16"/>
    </row>
    <row r="475" spans="5:5">
      <c r="E475" s="16"/>
    </row>
    <row r="476" spans="5:5">
      <c r="E476" s="16"/>
    </row>
    <row r="477" spans="5:5">
      <c r="E477" s="16"/>
    </row>
    <row r="478" spans="5:5">
      <c r="E478" s="16"/>
    </row>
    <row r="479" spans="5:5">
      <c r="E479" s="16"/>
    </row>
    <row r="480" spans="5:5">
      <c r="E480" s="16"/>
    </row>
    <row r="481" spans="5:5">
      <c r="E481" s="16"/>
    </row>
    <row r="482" spans="5:5">
      <c r="E482" s="16"/>
    </row>
    <row r="483" spans="5:5">
      <c r="E483" s="16"/>
    </row>
    <row r="484" spans="5:5">
      <c r="E484" s="16"/>
    </row>
    <row r="485" spans="5:5">
      <c r="E485" s="16"/>
    </row>
    <row r="486" spans="5:5">
      <c r="E486" s="16"/>
    </row>
    <row r="487" spans="5:5">
      <c r="E487" s="16"/>
    </row>
    <row r="488" spans="5:5">
      <c r="E488" s="16"/>
    </row>
    <row r="489" spans="5:5">
      <c r="E489" s="16"/>
    </row>
    <row r="490" spans="5:5">
      <c r="E490" s="16"/>
    </row>
    <row r="491" spans="5:5">
      <c r="E491" s="16"/>
    </row>
    <row r="492" spans="5:5">
      <c r="E492" s="16"/>
    </row>
    <row r="493" spans="5:5">
      <c r="E493" s="16"/>
    </row>
    <row r="494" spans="5:5">
      <c r="E494" s="16"/>
    </row>
    <row r="495" spans="5:5">
      <c r="E495" s="16"/>
    </row>
    <row r="496" spans="5:5">
      <c r="E496" s="16"/>
    </row>
    <row r="497" spans="5:5">
      <c r="E497" s="16"/>
    </row>
    <row r="498" spans="5:5">
      <c r="E498" s="16"/>
    </row>
    <row r="499" spans="5:5">
      <c r="E499" s="16"/>
    </row>
    <row r="500" spans="5:5">
      <c r="E500" s="16"/>
    </row>
    <row r="501" spans="5:5">
      <c r="E501" s="16"/>
    </row>
    <row r="502" spans="5:5">
      <c r="E502" s="16"/>
    </row>
    <row r="503" spans="5:5">
      <c r="E503" s="16"/>
    </row>
    <row r="504" spans="5:5">
      <c r="E504" s="16"/>
    </row>
    <row r="505" spans="5:5">
      <c r="E505" s="16"/>
    </row>
    <row r="506" spans="5:5">
      <c r="E506" s="16"/>
    </row>
    <row r="507" spans="5:5">
      <c r="E507" s="16"/>
    </row>
    <row r="508" spans="5:5">
      <c r="E508" s="16"/>
    </row>
    <row r="509" spans="5:5">
      <c r="E509" s="16"/>
    </row>
    <row r="510" spans="5:5">
      <c r="E510" s="16"/>
    </row>
    <row r="511" spans="5:5">
      <c r="E511" s="16"/>
    </row>
    <row r="512" spans="5:5">
      <c r="E512" s="16"/>
    </row>
    <row r="513" spans="5:5">
      <c r="E513" s="16"/>
    </row>
    <row r="514" spans="5:5">
      <c r="E514" s="16"/>
    </row>
    <row r="515" spans="5:5">
      <c r="E515" s="16"/>
    </row>
    <row r="516" spans="5:5">
      <c r="E516" s="16"/>
    </row>
    <row r="517" spans="5:5">
      <c r="E517" s="16"/>
    </row>
    <row r="518" spans="5:5">
      <c r="E518" s="16"/>
    </row>
    <row r="519" spans="5:5">
      <c r="E519" s="16"/>
    </row>
    <row r="520" spans="5:5">
      <c r="E520" s="16"/>
    </row>
    <row r="521" spans="5:5">
      <c r="E521" s="16"/>
    </row>
  </sheetData>
  <pageMargins left="0.23622047244094488" right="0.23622047244094488" top="0.19685039370078741" bottom="0.19685039370078741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9EB14F-2570-44F7-9DDB-D3718B8BD246}">
          <x14:formula1>
            <xm:f>Balancete!$C$4:$C$59</xm:f>
          </x14:formula1>
          <xm:sqref>C303:D521 C2:D164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A185-657D-41B0-90AA-2C447D70F977}">
  <dimension ref="B1:N68"/>
  <sheetViews>
    <sheetView tabSelected="1" zoomScale="145" zoomScaleNormal="145" workbookViewId="0">
      <selection activeCell="K8" sqref="K8"/>
    </sheetView>
  </sheetViews>
  <sheetFormatPr defaultRowHeight="15" customHeight="1"/>
  <cols>
    <col min="1" max="1" width="2.7109375" customWidth="1"/>
    <col min="2" max="2" width="8.42578125" customWidth="1"/>
    <col min="3" max="3" width="38.7109375" bestFit="1" customWidth="1"/>
    <col min="4" max="5" width="14.7109375" hidden="1" customWidth="1"/>
    <col min="6" max="6" width="15.7109375" hidden="1" customWidth="1"/>
    <col min="7" max="7" width="15" customWidth="1"/>
    <col min="8" max="8" width="15.28515625" customWidth="1"/>
    <col min="9" max="9" width="13.28515625" bestFit="1" customWidth="1"/>
    <col min="11" max="11" width="6.28515625" bestFit="1" customWidth="1"/>
    <col min="12" max="12" width="39.140625" bestFit="1" customWidth="1"/>
    <col min="13" max="13" width="11.85546875" customWidth="1"/>
    <col min="14" max="14" width="11.7109375" customWidth="1"/>
  </cols>
  <sheetData>
    <row r="1" spans="2:9" ht="8.25" customHeight="1"/>
    <row r="2" spans="2:9" ht="18">
      <c r="B2" s="97" t="s">
        <v>251</v>
      </c>
      <c r="C2" s="97"/>
      <c r="D2" s="97"/>
      <c r="E2" s="97"/>
      <c r="F2" s="97"/>
      <c r="G2" s="97"/>
      <c r="H2" s="97"/>
    </row>
    <row r="3" spans="2:9" ht="14.45">
      <c r="B3" s="21" t="s">
        <v>252</v>
      </c>
      <c r="C3" s="21" t="s">
        <v>1</v>
      </c>
      <c r="D3" s="22" t="s">
        <v>253</v>
      </c>
      <c r="E3" s="22" t="s">
        <v>254</v>
      </c>
      <c r="F3" s="22" t="s">
        <v>120</v>
      </c>
      <c r="G3" s="23" t="s">
        <v>253</v>
      </c>
      <c r="H3" s="23" t="s">
        <v>254</v>
      </c>
    </row>
    <row r="4" spans="2:9" ht="14.45">
      <c r="B4" s="24" t="s">
        <v>255</v>
      </c>
      <c r="C4" t="s">
        <v>7</v>
      </c>
      <c r="D4" s="18">
        <f>SUMIFS(Livro_Diario!$E$2:$E$301,Livro_Diario!$C$2:$C$301,Balancete!$C4)</f>
        <v>98120</v>
      </c>
      <c r="E4" s="18">
        <f>SUMIFS(Livro_Diario!$E$2:$E$301,Livro_Diario!$D$2:$D$301,Balancete!$C4)</f>
        <v>27925.630000000005</v>
      </c>
      <c r="F4" s="19">
        <f>D4-E4</f>
        <v>70194.37</v>
      </c>
      <c r="G4" s="20">
        <f t="shared" ref="G4:G59" si="0">ABS(IF(F4&gt;0,F4,0))</f>
        <v>70194.37</v>
      </c>
      <c r="H4" s="20">
        <f t="shared" ref="H4:H59" si="1">ABS(IF(F4&gt;0,0,F4))</f>
        <v>0</v>
      </c>
    </row>
    <row r="5" spans="2:9" ht="14.45">
      <c r="B5" s="24" t="s">
        <v>255</v>
      </c>
      <c r="C5" s="17" t="s">
        <v>9</v>
      </c>
      <c r="D5" s="18">
        <f>SUMIFS(Livro_Diario!$E$2:$E$301,Livro_Diario!$C$2:$C$301,Balancete!$C5)</f>
        <v>0</v>
      </c>
      <c r="E5" s="18">
        <f>SUMIFS(Livro_Diario!$E$2:$E$301,Livro_Diario!$D$2:$D$301,Balancete!$C5)</f>
        <v>0</v>
      </c>
      <c r="F5" s="19">
        <f t="shared" ref="F5:F59" si="2">D5-E5</f>
        <v>0</v>
      </c>
      <c r="G5" s="20">
        <f t="shared" si="0"/>
        <v>0</v>
      </c>
      <c r="H5" s="20">
        <f t="shared" si="1"/>
        <v>0</v>
      </c>
      <c r="I5" s="30"/>
    </row>
    <row r="6" spans="2:9" ht="14.45">
      <c r="B6" s="24" t="s">
        <v>256</v>
      </c>
      <c r="C6" t="s">
        <v>11</v>
      </c>
      <c r="D6" s="18">
        <f>SUMIFS(Livro_Diario!$E$2:$E$301,Livro_Diario!$C$2:$C$301,Balancete!$C6)</f>
        <v>0</v>
      </c>
      <c r="E6" s="18">
        <f>SUMIFS(Livro_Diario!$E$2:$E$301,Livro_Diario!$D$2:$D$301,Balancete!$C6)</f>
        <v>0</v>
      </c>
      <c r="F6" s="19">
        <f t="shared" si="2"/>
        <v>0</v>
      </c>
      <c r="G6" s="20">
        <f t="shared" si="0"/>
        <v>0</v>
      </c>
      <c r="H6" s="20">
        <f t="shared" si="1"/>
        <v>0</v>
      </c>
    </row>
    <row r="7" spans="2:9" ht="14.45">
      <c r="B7" s="24" t="s">
        <v>256</v>
      </c>
      <c r="C7" s="17" t="s">
        <v>14</v>
      </c>
      <c r="D7" s="18">
        <f>SUMIFS(Livro_Diario!$E$2:$E$301,Livro_Diario!$C$2:$C$301,Balancete!$C7)</f>
        <v>7260</v>
      </c>
      <c r="E7" s="18">
        <f>SUMIFS(Livro_Diario!$E$2:$E$301,Livro_Diario!$D$2:$D$301,Balancete!$C7)</f>
        <v>0</v>
      </c>
      <c r="F7" s="19">
        <f t="shared" si="2"/>
        <v>7260</v>
      </c>
      <c r="G7" s="20">
        <f t="shared" si="0"/>
        <v>7260</v>
      </c>
      <c r="H7" s="20">
        <f t="shared" si="1"/>
        <v>0</v>
      </c>
      <c r="I7" s="16"/>
    </row>
    <row r="8" spans="2:9" ht="14.45">
      <c r="B8" s="24" t="s">
        <v>256</v>
      </c>
      <c r="C8" s="17" t="s">
        <v>16</v>
      </c>
      <c r="D8" s="18">
        <f>SUMIFS(Livro_Diario!$E$2:$E$301,Livro_Diario!$C$2:$C$301,Balancete!$C8)</f>
        <v>8298</v>
      </c>
      <c r="E8" s="18">
        <f>SUMIFS(Livro_Diario!$E$2:$E$301,Livro_Diario!$D$2:$D$301,Balancete!$C8)</f>
        <v>0</v>
      </c>
      <c r="F8" s="19">
        <f t="shared" si="2"/>
        <v>8298</v>
      </c>
      <c r="G8" s="20">
        <f t="shared" si="0"/>
        <v>8298</v>
      </c>
      <c r="H8" s="20">
        <f t="shared" si="1"/>
        <v>0</v>
      </c>
    </row>
    <row r="9" spans="2:9" ht="14.45">
      <c r="B9" s="24" t="s">
        <v>256</v>
      </c>
      <c r="C9" s="17" t="s">
        <v>17</v>
      </c>
      <c r="D9" s="83">
        <f>SUMIFS(Livro_Diario!$E$2:$E$301,Livro_Diario!$C$2:$C$301,Balancete!$C9)</f>
        <v>0</v>
      </c>
      <c r="E9" s="83">
        <f>SUMIFS(Livro_Diario!$E$2:$E$301,Livro_Diario!$D$2:$D$301,Balancete!$C9)</f>
        <v>596.40000000000009</v>
      </c>
      <c r="F9" s="84">
        <f t="shared" si="2"/>
        <v>-596.40000000000009</v>
      </c>
      <c r="G9" s="85">
        <f t="shared" si="0"/>
        <v>0</v>
      </c>
      <c r="H9" s="85">
        <f t="shared" si="1"/>
        <v>596.40000000000009</v>
      </c>
      <c r="I9" s="86" t="s">
        <v>257</v>
      </c>
    </row>
    <row r="10" spans="2:9" ht="14.45">
      <c r="B10" s="24" t="s">
        <v>258</v>
      </c>
      <c r="C10" s="17" t="s">
        <v>24</v>
      </c>
      <c r="D10" s="18">
        <f>SUMIFS(Livro_Diario!$E$2:$E$301,Livro_Diario!$C$2:$C$301,Balancete!$C10)</f>
        <v>0</v>
      </c>
      <c r="E10" s="18">
        <f>SUMIFS(Livro_Diario!$E$2:$E$301,Livro_Diario!$D$2:$D$301,Balancete!$C10)</f>
        <v>0</v>
      </c>
      <c r="F10" s="19">
        <f t="shared" si="2"/>
        <v>0</v>
      </c>
      <c r="G10" s="20">
        <f t="shared" si="0"/>
        <v>0</v>
      </c>
      <c r="H10" s="20">
        <f t="shared" si="1"/>
        <v>0</v>
      </c>
    </row>
    <row r="11" spans="2:9" ht="14.45">
      <c r="B11" s="24" t="s">
        <v>258</v>
      </c>
      <c r="C11" s="17" t="s">
        <v>27</v>
      </c>
      <c r="D11" s="18">
        <f>SUMIFS(Livro_Diario!$E$2:$E$301,Livro_Diario!$C$2:$C$301,Balancete!$C11)</f>
        <v>2869.59</v>
      </c>
      <c r="E11" s="18">
        <f>SUMIFS(Livro_Diario!$E$2:$E$301,Livro_Diario!$D$2:$D$301,Balancete!$C11)</f>
        <v>15558</v>
      </c>
      <c r="F11" s="19">
        <f t="shared" si="2"/>
        <v>-12688.41</v>
      </c>
      <c r="G11" s="20">
        <f t="shared" si="0"/>
        <v>0</v>
      </c>
      <c r="H11" s="20">
        <f t="shared" si="1"/>
        <v>12688.41</v>
      </c>
    </row>
    <row r="12" spans="2:9" ht="14.45">
      <c r="B12" s="24" t="s">
        <v>258</v>
      </c>
      <c r="C12" s="17" t="s">
        <v>29</v>
      </c>
      <c r="D12" s="18">
        <f>SUMIFS(Livro_Diario!$E$2:$E$301,Livro_Diario!$C$2:$C$301,Balancete!$C12)</f>
        <v>4853.58</v>
      </c>
      <c r="E12" s="18">
        <f>SUMIFS(Livro_Diario!$E$2:$E$301,Livro_Diario!$D$2:$D$301,Balancete!$C12)</f>
        <v>7336.4</v>
      </c>
      <c r="F12" s="19">
        <f t="shared" si="2"/>
        <v>-2482.8199999999997</v>
      </c>
      <c r="G12" s="20">
        <f t="shared" si="0"/>
        <v>0</v>
      </c>
      <c r="H12" s="20">
        <f t="shared" si="1"/>
        <v>2482.8199999999997</v>
      </c>
    </row>
    <row r="13" spans="2:9" ht="14.45">
      <c r="B13" s="24" t="s">
        <v>258</v>
      </c>
      <c r="C13" s="34" t="s">
        <v>31</v>
      </c>
      <c r="D13" s="18">
        <f>SUMIFS(Livro_Diario!$E$2:$E$301,Livro_Diario!$C$2:$C$301,Balancete!$C13)</f>
        <v>0</v>
      </c>
      <c r="E13" s="18">
        <f>SUMIFS(Livro_Diario!$E$2:$E$301,Livro_Diario!$D$2:$D$301,Balancete!$C13)</f>
        <v>440.17999999999995</v>
      </c>
      <c r="F13" s="19">
        <f t="shared" ref="F13" si="3">D13-E13</f>
        <v>-440.17999999999995</v>
      </c>
      <c r="G13" s="20">
        <f t="shared" ref="G13" si="4">ABS(IF(F13&gt;0,F13,0))</f>
        <v>0</v>
      </c>
      <c r="H13" s="20">
        <f t="shared" ref="H13" si="5">ABS(IF(F13&gt;0,0,F13))</f>
        <v>440.17999999999995</v>
      </c>
    </row>
    <row r="14" spans="2:9" ht="14.45">
      <c r="B14" s="24" t="s">
        <v>258</v>
      </c>
      <c r="C14" s="70" t="s">
        <v>33</v>
      </c>
      <c r="D14" s="18">
        <f>SUMIFS(Livro_Diario!$E$2:$E$301,Livro_Diario!$C$2:$C$301,Balancete!$C14)</f>
        <v>0</v>
      </c>
      <c r="E14" s="18">
        <f>SUMIFS(Livro_Diario!$E$2:$E$301,Livro_Diario!$D$2:$D$301,Balancete!$C14)</f>
        <v>611.3599999999999</v>
      </c>
      <c r="F14" s="19">
        <f t="shared" si="2"/>
        <v>-611.3599999999999</v>
      </c>
      <c r="G14" s="20">
        <f t="shared" si="0"/>
        <v>0</v>
      </c>
      <c r="H14" s="20">
        <f t="shared" si="1"/>
        <v>611.3599999999999</v>
      </c>
    </row>
    <row r="15" spans="2:9" ht="14.45">
      <c r="B15" s="24" t="s">
        <v>258</v>
      </c>
      <c r="C15" t="s">
        <v>35</v>
      </c>
      <c r="D15" s="18">
        <f>SUMIFS(Livro_Diario!$E$2:$E$301,Livro_Diario!$C$2:$C$301,Balancete!$C15)</f>
        <v>0</v>
      </c>
      <c r="E15" s="18">
        <f>SUMIFS(Livro_Diario!$E$2:$E$301,Livro_Diario!$D$2:$D$301,Balancete!$C15)</f>
        <v>815.11999999999989</v>
      </c>
      <c r="F15" s="19">
        <f t="shared" si="2"/>
        <v>-815.11999999999989</v>
      </c>
      <c r="G15" s="20">
        <f t="shared" si="0"/>
        <v>0</v>
      </c>
      <c r="H15" s="20">
        <f t="shared" si="1"/>
        <v>815.11999999999989</v>
      </c>
    </row>
    <row r="16" spans="2:9" ht="14.45">
      <c r="B16" s="24" t="s">
        <v>258</v>
      </c>
      <c r="C16" s="17" t="s">
        <v>37</v>
      </c>
      <c r="D16" s="18">
        <f>SUMIFS(Livro_Diario!$E$2:$E$301,Livro_Diario!$C$2:$C$301,Balancete!$C16)</f>
        <v>356.37</v>
      </c>
      <c r="E16" s="18">
        <f>SUMIFS(Livro_Diario!$E$2:$E$301,Livro_Diario!$D$2:$D$301,Balancete!$C16)</f>
        <v>701.02</v>
      </c>
      <c r="F16" s="19">
        <f t="shared" si="2"/>
        <v>-344.65</v>
      </c>
      <c r="G16" s="20">
        <f t="shared" si="0"/>
        <v>0</v>
      </c>
      <c r="H16" s="20">
        <f t="shared" si="1"/>
        <v>344.65</v>
      </c>
    </row>
    <row r="17" spans="2:9" ht="14.45">
      <c r="B17" s="24" t="s">
        <v>258</v>
      </c>
      <c r="C17" s="17" t="s">
        <v>39</v>
      </c>
      <c r="D17" s="18">
        <f>SUMIFS(Livro_Diario!$E$2:$E$301,Livro_Diario!$C$2:$C$301,Balancete!$C17)</f>
        <v>344.05</v>
      </c>
      <c r="E17" s="18">
        <f>SUMIFS(Livro_Diario!$E$2:$E$301,Livro_Diario!$D$2:$D$301,Balancete!$C17)</f>
        <v>1890.14</v>
      </c>
      <c r="F17" s="19">
        <f t="shared" si="2"/>
        <v>-1546.0900000000001</v>
      </c>
      <c r="G17" s="20">
        <f t="shared" si="0"/>
        <v>0</v>
      </c>
      <c r="H17" s="20">
        <f t="shared" si="1"/>
        <v>1546.0900000000001</v>
      </c>
    </row>
    <row r="18" spans="2:9" ht="14.45">
      <c r="B18" s="24" t="s">
        <v>258</v>
      </c>
      <c r="C18" s="17" t="s">
        <v>42</v>
      </c>
      <c r="D18" s="18">
        <f>SUMIFS(Livro_Diario!$E$2:$E$301,Livro_Diario!$C$2:$C$301,Balancete!$C18)</f>
        <v>8440</v>
      </c>
      <c r="E18" s="18">
        <f>SUMIFS(Livro_Diario!$E$2:$E$301,Livro_Diario!$D$2:$D$301,Balancete!$C18)</f>
        <v>12000</v>
      </c>
      <c r="F18" s="19">
        <f t="shared" si="2"/>
        <v>-3560</v>
      </c>
      <c r="G18" s="20">
        <f t="shared" si="0"/>
        <v>0</v>
      </c>
      <c r="H18" s="20">
        <f t="shared" si="1"/>
        <v>3560</v>
      </c>
    </row>
    <row r="19" spans="2:9" ht="14.45">
      <c r="B19" s="24" t="s">
        <v>258</v>
      </c>
      <c r="C19" s="17" t="s">
        <v>44</v>
      </c>
      <c r="D19" s="18">
        <f>SUMIFS(Livro_Diario!$E$2:$E$301,Livro_Diario!$C$2:$C$301,Balancete!$C19)</f>
        <v>0</v>
      </c>
      <c r="E19" s="18">
        <f>SUMIFS(Livro_Diario!$E$2:$E$301,Livro_Diario!$D$2:$D$301,Balancete!$C19)</f>
        <v>870</v>
      </c>
      <c r="F19" s="19">
        <f t="shared" si="2"/>
        <v>-870</v>
      </c>
      <c r="G19" s="20">
        <f t="shared" si="0"/>
        <v>0</v>
      </c>
      <c r="H19" s="20">
        <f t="shared" si="1"/>
        <v>870</v>
      </c>
    </row>
    <row r="20" spans="2:9" ht="14.45">
      <c r="B20" s="24" t="s">
        <v>258</v>
      </c>
      <c r="C20" s="17" t="s">
        <v>48</v>
      </c>
      <c r="D20" s="18">
        <f>SUMIFS(Livro_Diario!$E$2:$E$301,Livro_Diario!$C$2:$C$301,Balancete!$C20)</f>
        <v>0</v>
      </c>
      <c r="E20" s="18">
        <f>SUMIFS(Livro_Diario!$E$2:$E$301,Livro_Diario!$D$2:$D$301,Balancete!$C20)</f>
        <v>0</v>
      </c>
      <c r="F20" s="19">
        <f t="shared" si="2"/>
        <v>0</v>
      </c>
      <c r="G20" s="20">
        <f t="shared" si="0"/>
        <v>0</v>
      </c>
      <c r="H20" s="20">
        <f t="shared" si="1"/>
        <v>0</v>
      </c>
    </row>
    <row r="21" spans="2:9" ht="14.45">
      <c r="B21" s="24" t="s">
        <v>259</v>
      </c>
      <c r="C21" s="17" t="s">
        <v>50</v>
      </c>
      <c r="D21" s="18">
        <f>SUMIFS(Livro_Diario!$E$2:$E$301,Livro_Diario!$C$2:$C$301,Balancete!$C21)</f>
        <v>0</v>
      </c>
      <c r="E21" s="18">
        <f>SUMIFS(Livro_Diario!$E$2:$E$301,Livro_Diario!$D$2:$D$301,Balancete!$C21)</f>
        <v>70000</v>
      </c>
      <c r="F21" s="19">
        <f t="shared" si="2"/>
        <v>-70000</v>
      </c>
      <c r="G21" s="20">
        <f t="shared" si="0"/>
        <v>0</v>
      </c>
      <c r="H21" s="20">
        <f t="shared" si="1"/>
        <v>70000</v>
      </c>
    </row>
    <row r="22" spans="2:9" ht="14.45">
      <c r="B22" s="24" t="s">
        <v>259</v>
      </c>
      <c r="C22" s="17" t="s">
        <v>53</v>
      </c>
      <c r="D22" s="18">
        <f>SUMIFS(Livro_Diario!$E$2:$E$301,Livro_Diario!$C$2:$C$301,Balancete!$C22)</f>
        <v>0</v>
      </c>
      <c r="E22" s="18">
        <f>SUMIFS(Livro_Diario!$E$2:$E$301,Livro_Diario!$D$2:$D$301,Balancete!$C22)</f>
        <v>0</v>
      </c>
      <c r="F22" s="19">
        <f t="shared" si="2"/>
        <v>0</v>
      </c>
      <c r="G22" s="20">
        <f t="shared" si="0"/>
        <v>0</v>
      </c>
      <c r="H22" s="20">
        <f t="shared" si="1"/>
        <v>0</v>
      </c>
    </row>
    <row r="23" spans="2:9" ht="14.45">
      <c r="B23" s="24" t="s">
        <v>260</v>
      </c>
      <c r="C23" s="17" t="s">
        <v>58</v>
      </c>
      <c r="D23" s="18">
        <f>SUMIFS(Livro_Diario!$E$2:$E$301,Livro_Diario!$C$2:$C$301,Balancete!$C23)</f>
        <v>0</v>
      </c>
      <c r="E23" s="18">
        <f>SUMIFS(Livro_Diario!$E$2:$E$301,Livro_Diario!$D$2:$D$301,Balancete!$C23)</f>
        <v>9400</v>
      </c>
      <c r="F23" s="19">
        <f t="shared" si="2"/>
        <v>-9400</v>
      </c>
      <c r="G23" s="20">
        <f t="shared" si="0"/>
        <v>0</v>
      </c>
      <c r="H23" s="20">
        <f t="shared" si="1"/>
        <v>9400</v>
      </c>
    </row>
    <row r="24" spans="2:9" ht="14.45">
      <c r="B24" s="24" t="s">
        <v>260</v>
      </c>
      <c r="C24" s="17" t="s">
        <v>60</v>
      </c>
      <c r="D24" s="18">
        <f>SUMIFS(Livro_Diario!$E$2:$E$301,Livro_Diario!$C$2:$C$301,Balancete!$C24)</f>
        <v>0</v>
      </c>
      <c r="E24" s="18">
        <f>SUMIFS(Livro_Diario!$E$2:$E$301,Livro_Diario!$D$2:$D$301,Balancete!$C24)</f>
        <v>3000</v>
      </c>
      <c r="F24" s="19">
        <f t="shared" si="2"/>
        <v>-3000</v>
      </c>
      <c r="G24" s="20">
        <f t="shared" si="0"/>
        <v>0</v>
      </c>
      <c r="H24" s="20">
        <f t="shared" si="1"/>
        <v>3000</v>
      </c>
    </row>
    <row r="25" spans="2:9" ht="14.45">
      <c r="B25" s="24" t="s">
        <v>260</v>
      </c>
      <c r="C25" s="34" t="s">
        <v>62</v>
      </c>
      <c r="D25" s="18">
        <f>SUMIFS(Livro_Diario!$E$2:$E$301,Livro_Diario!$C$2:$C$301,Balancete!$C25)</f>
        <v>0</v>
      </c>
      <c r="E25" s="18">
        <f>SUMIFS(Livro_Diario!$E$2:$E$301,Livro_Diario!$D$2:$D$301,Balancete!$C25)</f>
        <v>2550</v>
      </c>
      <c r="F25" s="19">
        <f t="shared" si="2"/>
        <v>-2550</v>
      </c>
      <c r="G25" s="20">
        <f t="shared" si="0"/>
        <v>0</v>
      </c>
      <c r="H25" s="20">
        <f t="shared" si="1"/>
        <v>2550</v>
      </c>
      <c r="I25" t="s">
        <v>261</v>
      </c>
    </row>
    <row r="26" spans="2:9" ht="14.45">
      <c r="B26" s="24" t="s">
        <v>260</v>
      </c>
      <c r="C26" s="35" t="s">
        <v>64</v>
      </c>
      <c r="D26" s="18">
        <f>SUMIFS(Livro_Diario!$E$2:$E$301,Livro_Diario!$C$2:$C$301,Balancete!$C26)</f>
        <v>0</v>
      </c>
      <c r="E26" s="18">
        <f>SUMIFS(Livro_Diario!$E$2:$E$301,Livro_Diario!$D$2:$D$301,Balancete!$C26)</f>
        <v>900</v>
      </c>
      <c r="F26" s="19">
        <f t="shared" si="2"/>
        <v>-900</v>
      </c>
      <c r="G26" s="20">
        <f t="shared" si="0"/>
        <v>0</v>
      </c>
      <c r="H26" s="20">
        <f t="shared" si="1"/>
        <v>900</v>
      </c>
      <c r="I26" s="16">
        <f>H23+H24+H25+H26+H27+H28</f>
        <v>28120</v>
      </c>
    </row>
    <row r="27" spans="2:9" ht="14.45">
      <c r="B27" s="24" t="s">
        <v>260</v>
      </c>
      <c r="C27" s="28" t="s">
        <v>66</v>
      </c>
      <c r="D27" s="18">
        <f>SUMIFS(Livro_Diario!$E$2:$E$301,Livro_Diario!$C$2:$C$301,Balancete!$C27)</f>
        <v>0</v>
      </c>
      <c r="E27" s="18">
        <f>SUMIFS(Livro_Diario!$E$2:$E$301,Livro_Diario!$D$2:$D$301,Balancete!$C27)</f>
        <v>2200</v>
      </c>
      <c r="F27" s="19">
        <f t="shared" si="2"/>
        <v>-2200</v>
      </c>
      <c r="G27" s="20">
        <f t="shared" si="0"/>
        <v>0</v>
      </c>
      <c r="H27" s="20">
        <f t="shared" si="1"/>
        <v>2200</v>
      </c>
    </row>
    <row r="28" spans="2:9" ht="14.45">
      <c r="B28" s="24" t="s">
        <v>260</v>
      </c>
      <c r="C28" s="33" t="s">
        <v>68</v>
      </c>
      <c r="D28" s="18">
        <f>SUMIFS(Livro_Diario!$E$2:$E$301,Livro_Diario!$C$2:$C$301,Balancete!$C28)</f>
        <v>0</v>
      </c>
      <c r="E28" s="18">
        <f>SUMIFS(Livro_Diario!$E$2:$E$301,Livro_Diario!$D$2:$D$301,Balancete!$C28)</f>
        <v>10070</v>
      </c>
      <c r="F28" s="19">
        <f t="shared" si="2"/>
        <v>-10070</v>
      </c>
      <c r="G28" s="20">
        <f t="shared" si="0"/>
        <v>0</v>
      </c>
      <c r="H28" s="20">
        <f t="shared" si="1"/>
        <v>10070</v>
      </c>
    </row>
    <row r="29" spans="2:9" ht="14.45">
      <c r="B29" s="24" t="s">
        <v>260</v>
      </c>
      <c r="C29" s="33" t="s">
        <v>122</v>
      </c>
      <c r="D29" s="18">
        <f>SUMIFS(Livro_Diario!$E$2:$E$301,Livro_Diario!$C$2:$C$301,Balancete!$C29)</f>
        <v>590</v>
      </c>
      <c r="E29" s="18">
        <f>SUMIFS(Livro_Diario!$E$2:$E$301,Livro_Diario!$D$2:$D$301,Balancete!$C29)</f>
        <v>0</v>
      </c>
      <c r="F29" s="19">
        <f t="shared" si="2"/>
        <v>590</v>
      </c>
      <c r="G29" s="85">
        <f t="shared" si="0"/>
        <v>590</v>
      </c>
      <c r="H29" s="20">
        <f t="shared" si="1"/>
        <v>0</v>
      </c>
    </row>
    <row r="30" spans="2:9" ht="14.45">
      <c r="B30" s="24" t="s">
        <v>260</v>
      </c>
      <c r="C30" s="69" t="s">
        <v>124</v>
      </c>
      <c r="D30" s="18">
        <f>SUMIFS(Livro_Diario!$E$2:$E$301,Livro_Diario!$C$2:$C$301,Balancete!$C30)</f>
        <v>9000</v>
      </c>
      <c r="E30" s="18">
        <f>SUMIFS(Livro_Diario!$E$2:$E$301,Livro_Diario!$D$2:$D$301,Balancete!$C30)</f>
        <v>0</v>
      </c>
      <c r="F30" s="19">
        <f t="shared" si="2"/>
        <v>9000</v>
      </c>
      <c r="G30" s="85">
        <f t="shared" si="0"/>
        <v>9000</v>
      </c>
      <c r="H30" s="20">
        <f t="shared" si="1"/>
        <v>0</v>
      </c>
    </row>
    <row r="31" spans="2:9" ht="14.45">
      <c r="B31" s="24" t="s">
        <v>260</v>
      </c>
      <c r="C31" s="31" t="s">
        <v>126</v>
      </c>
      <c r="D31" s="18">
        <f>SUMIFS(Livro_Diario!$E$2:$E$301,Livro_Diario!$C$2:$C$301,Balancete!$C31)</f>
        <v>5236.3999999999996</v>
      </c>
      <c r="E31" s="18">
        <f>SUMIFS(Livro_Diario!$E$2:$E$301,Livro_Diario!$D$2:$D$301,Balancete!$C31)</f>
        <v>0</v>
      </c>
      <c r="F31" s="19">
        <f t="shared" si="2"/>
        <v>5236.3999999999996</v>
      </c>
      <c r="G31" s="85">
        <f t="shared" si="0"/>
        <v>5236.3999999999996</v>
      </c>
      <c r="H31" s="20">
        <f t="shared" si="1"/>
        <v>0</v>
      </c>
    </row>
    <row r="32" spans="2:9" ht="14.45">
      <c r="B32" s="24" t="s">
        <v>260</v>
      </c>
      <c r="C32" s="17" t="s">
        <v>128</v>
      </c>
      <c r="D32" s="18">
        <f>SUMIFS(Livro_Diario!$E$2:$E$301,Livro_Diario!$C$2:$C$301,Balancete!$C32)</f>
        <v>0</v>
      </c>
      <c r="E32" s="18">
        <f>SUMIFS(Livro_Diario!$E$2:$E$301,Livro_Diario!$D$2:$D$301,Balancete!$C32)</f>
        <v>0</v>
      </c>
      <c r="F32" s="19">
        <f t="shared" ref="F32:F36" si="6">D32-E32</f>
        <v>0</v>
      </c>
      <c r="G32" s="85">
        <f t="shared" ref="G32:G36" si="7">ABS(IF(F32&gt;0,F32,0))</f>
        <v>0</v>
      </c>
      <c r="H32" s="20">
        <f t="shared" ref="H32:H36" si="8">ABS(IF(F32&gt;0,0,F32))</f>
        <v>0</v>
      </c>
    </row>
    <row r="33" spans="2:14" ht="14.45">
      <c r="B33" s="24" t="s">
        <v>260</v>
      </c>
      <c r="C33" s="17" t="s">
        <v>130</v>
      </c>
      <c r="D33" s="18">
        <f>SUMIFS(Livro_Diario!$E$2:$E$301,Livro_Diario!$C$2:$C$301,Balancete!$C33)</f>
        <v>418.92</v>
      </c>
      <c r="E33" s="18">
        <f>SUMIFS(Livro_Diario!$E$2:$E$301,Livro_Diario!$D$2:$D$301,Balancete!$C33)</f>
        <v>0</v>
      </c>
      <c r="F33" s="19">
        <f t="shared" si="6"/>
        <v>418.92</v>
      </c>
      <c r="G33" s="85">
        <f t="shared" si="7"/>
        <v>418.92</v>
      </c>
      <c r="H33" s="20">
        <f t="shared" si="8"/>
        <v>0</v>
      </c>
    </row>
    <row r="34" spans="2:14" ht="14.45">
      <c r="B34" s="24" t="s">
        <v>260</v>
      </c>
      <c r="C34" s="17" t="s">
        <v>132</v>
      </c>
      <c r="D34" s="18">
        <f>SUMIFS(Livro_Diario!$E$2:$E$301,Livro_Diario!$C$2:$C$301,Balancete!$C34)</f>
        <v>436.37</v>
      </c>
      <c r="E34" s="18">
        <f>SUMIFS(Livro_Diario!$E$2:$E$301,Livro_Diario!$D$2:$D$301,Balancete!$C34)</f>
        <v>0</v>
      </c>
      <c r="F34" s="19">
        <f t="shared" si="6"/>
        <v>436.37</v>
      </c>
      <c r="G34" s="85">
        <f t="shared" si="7"/>
        <v>436.37</v>
      </c>
      <c r="H34" s="20">
        <f t="shared" si="8"/>
        <v>0</v>
      </c>
    </row>
    <row r="35" spans="2:14" ht="14.45">
      <c r="B35" s="24" t="s">
        <v>260</v>
      </c>
      <c r="C35" s="17" t="s">
        <v>134</v>
      </c>
      <c r="D35" s="18">
        <f>SUMIFS(Livro_Diario!$E$2:$E$301,Livro_Diario!$C$2:$C$301,Balancete!$C35)</f>
        <v>581.80999999999995</v>
      </c>
      <c r="E35" s="18">
        <f>SUMIFS(Livro_Diario!$E$2:$E$301,Livro_Diario!$D$2:$D$301,Balancete!$C35)</f>
        <v>0</v>
      </c>
      <c r="F35" s="19">
        <f t="shared" si="6"/>
        <v>581.80999999999995</v>
      </c>
      <c r="G35" s="85">
        <f t="shared" si="7"/>
        <v>581.80999999999995</v>
      </c>
      <c r="H35" s="20">
        <f t="shared" si="8"/>
        <v>0</v>
      </c>
    </row>
    <row r="36" spans="2:14" ht="14.45">
      <c r="B36" s="24" t="s">
        <v>260</v>
      </c>
      <c r="C36" s="70" t="s">
        <v>136</v>
      </c>
      <c r="D36" s="18">
        <f>SUMIFS(Livro_Diario!$E$2:$E$301,Livro_Diario!$C$2:$C$301,Balancete!$C36)</f>
        <v>81.459999999999994</v>
      </c>
      <c r="E36" s="18">
        <f>SUMIFS(Livro_Diario!$E$2:$E$301,Livro_Diario!$D$2:$D$301,Balancete!$C36)</f>
        <v>0</v>
      </c>
      <c r="F36" s="19">
        <f t="shared" si="6"/>
        <v>81.459999999999994</v>
      </c>
      <c r="G36" s="85">
        <f t="shared" si="7"/>
        <v>81.459999999999994</v>
      </c>
      <c r="H36" s="20">
        <f t="shared" si="8"/>
        <v>0</v>
      </c>
    </row>
    <row r="37" spans="2:14" ht="14.45">
      <c r="B37" s="24" t="s">
        <v>260</v>
      </c>
      <c r="C37" s="17" t="s">
        <v>224</v>
      </c>
      <c r="D37" s="18">
        <f>SUMIFS(Livro_Diario!$E$2:$E$301,Livro_Diario!$C$2:$C$301,Balancete!$C37)</f>
        <v>1124.8</v>
      </c>
      <c r="E37" s="18">
        <f>SUMIFS(Livro_Diario!$E$2:$E$301,Livro_Diario!$D$2:$D$301,Balancete!$C37)</f>
        <v>0</v>
      </c>
      <c r="F37" s="19">
        <f t="shared" ref="F37" si="9">D37-E37</f>
        <v>1124.8</v>
      </c>
      <c r="G37" s="20">
        <f t="shared" ref="G37" si="10">ABS(IF(F37&gt;0,F37,0))</f>
        <v>1124.8</v>
      </c>
      <c r="H37" s="20">
        <f t="shared" ref="H37" si="11">ABS(IF(F37&gt;0,0,F37))</f>
        <v>0</v>
      </c>
    </row>
    <row r="38" spans="2:14" ht="14.45">
      <c r="B38" s="24" t="s">
        <v>260</v>
      </c>
      <c r="C38" s="33" t="s">
        <v>169</v>
      </c>
      <c r="D38" s="18">
        <f>SUMIFS(Livro_Diario!$E$2:$E$301,Livro_Diario!$C$2:$C$301,Balancete!$C38)</f>
        <v>295.69</v>
      </c>
      <c r="E38" s="18">
        <f>SUMIFS(Livro_Diario!$E$2:$E$301,Livro_Diario!$D$2:$D$301,Balancete!$C38)</f>
        <v>0</v>
      </c>
      <c r="F38" s="19">
        <f t="shared" si="2"/>
        <v>295.69</v>
      </c>
      <c r="G38" s="20">
        <f t="shared" si="0"/>
        <v>295.69</v>
      </c>
      <c r="H38" s="20">
        <f t="shared" si="1"/>
        <v>0</v>
      </c>
    </row>
    <row r="39" spans="2:14" ht="14.45">
      <c r="B39" s="24" t="s">
        <v>260</v>
      </c>
      <c r="C39" s="33" t="s">
        <v>75</v>
      </c>
      <c r="D39" s="18">
        <f>SUMIFS(Livro_Diario!$E$2:$E$301,Livro_Diario!$C$2:$C$301,Balancete!$C39)</f>
        <v>554.66999999999996</v>
      </c>
      <c r="E39" s="18">
        <f>SUMIFS(Livro_Diario!$E$2:$E$301,Livro_Diario!$D$2:$D$301,Balancete!$C39)</f>
        <v>0</v>
      </c>
      <c r="F39" s="19">
        <f t="shared" si="2"/>
        <v>554.66999999999996</v>
      </c>
      <c r="G39" s="20">
        <f t="shared" si="0"/>
        <v>554.66999999999996</v>
      </c>
      <c r="H39" s="20">
        <f t="shared" si="1"/>
        <v>0</v>
      </c>
    </row>
    <row r="40" spans="2:14" ht="14.45">
      <c r="B40" s="24" t="s">
        <v>260</v>
      </c>
      <c r="C40" s="33" t="s">
        <v>154</v>
      </c>
      <c r="D40" s="18">
        <f>SUMIFS(Livro_Diario!$E$2:$E$301,Livro_Diario!$C$2:$C$301,Balancete!$C40)</f>
        <v>430.36</v>
      </c>
      <c r="E40" s="18">
        <f>SUMIFS(Livro_Diario!$E$2:$E$301,Livro_Diario!$D$2:$D$301,Balancete!$C40)</f>
        <v>0</v>
      </c>
      <c r="F40" s="19">
        <f t="shared" si="2"/>
        <v>430.36</v>
      </c>
      <c r="G40" s="20">
        <f t="shared" si="0"/>
        <v>430.36</v>
      </c>
      <c r="H40" s="20">
        <f t="shared" si="1"/>
        <v>0</v>
      </c>
    </row>
    <row r="41" spans="2:14" ht="14.45">
      <c r="B41" s="24" t="s">
        <v>260</v>
      </c>
      <c r="C41" s="33" t="s">
        <v>151</v>
      </c>
      <c r="D41" s="18">
        <f>SUMIFS(Livro_Diario!$E$2:$E$301,Livro_Diario!$C$2:$C$301,Balancete!$C41)</f>
        <v>377.46</v>
      </c>
      <c r="E41" s="18">
        <f>SUMIFS(Livro_Diario!$E$2:$E$301,Livro_Diario!$D$2:$D$301,Balancete!$C41)</f>
        <v>0</v>
      </c>
      <c r="F41" s="19">
        <f t="shared" si="2"/>
        <v>377.46</v>
      </c>
      <c r="G41" s="20">
        <f t="shared" si="0"/>
        <v>377.46</v>
      </c>
      <c r="H41" s="20">
        <f t="shared" si="1"/>
        <v>0</v>
      </c>
    </row>
    <row r="42" spans="2:14" ht="14.45">
      <c r="B42" s="24" t="s">
        <v>260</v>
      </c>
      <c r="C42" t="s">
        <v>81</v>
      </c>
      <c r="D42" s="18">
        <f>SUMIFS(Livro_Diario!$E$2:$E$301,Livro_Diario!$C$2:$C$301,Balancete!$C42)</f>
        <v>1907.4199999999998</v>
      </c>
      <c r="E42" s="18">
        <f>SUMIFS(Livro_Diario!$E$2:$E$301,Livro_Diario!$D$2:$D$301,Balancete!$C42)</f>
        <v>0</v>
      </c>
      <c r="F42" s="19">
        <f t="shared" si="2"/>
        <v>1907.4199999999998</v>
      </c>
      <c r="G42" s="20">
        <f t="shared" si="0"/>
        <v>1907.4199999999998</v>
      </c>
      <c r="H42" s="20">
        <f t="shared" si="1"/>
        <v>0</v>
      </c>
      <c r="I42" t="s">
        <v>262</v>
      </c>
      <c r="L42" t="s">
        <v>263</v>
      </c>
    </row>
    <row r="43" spans="2:14">
      <c r="B43" s="24" t="s">
        <v>260</v>
      </c>
      <c r="C43" s="17" t="s">
        <v>83</v>
      </c>
      <c r="D43" s="18">
        <f>SUMIFS(Livro_Diario!$E$2:$E$301,Livro_Diario!$C$2:$C$301,Balancete!$C43)</f>
        <v>730</v>
      </c>
      <c r="E43" s="18">
        <f>SUMIFS(Livro_Diario!$E$2:$E$301,Livro_Diario!$D$2:$D$301,Balancete!$C43)</f>
        <v>0</v>
      </c>
      <c r="F43" s="19">
        <f t="shared" si="2"/>
        <v>730</v>
      </c>
      <c r="G43" s="20">
        <f t="shared" si="0"/>
        <v>730</v>
      </c>
      <c r="H43" s="20">
        <f t="shared" si="1"/>
        <v>0</v>
      </c>
      <c r="I43" s="107">
        <f>G38+G39+G40+G41+G42+G43+G44+G45+G46+G47+G49+G50+G51+G52+G53+G54+G55+G56+G58</f>
        <v>18852.900000000001</v>
      </c>
      <c r="L43" s="108">
        <v>20361.25</v>
      </c>
    </row>
    <row r="44" spans="2:14" ht="14.45">
      <c r="B44" s="24" t="s">
        <v>260</v>
      </c>
      <c r="C44" t="s">
        <v>182</v>
      </c>
      <c r="D44" s="18">
        <f>SUMIFS(Livro_Diario!$E$2:$E$301,Livro_Diario!$C$2:$C$301,Balancete!$C44)</f>
        <v>2500</v>
      </c>
      <c r="E44" s="18">
        <f>SUMIFS(Livro_Diario!$E$2:$E$301,Livro_Diario!$D$2:$D$301,Balancete!$C44)</f>
        <v>0</v>
      </c>
      <c r="F44" s="19">
        <f t="shared" si="2"/>
        <v>2500</v>
      </c>
      <c r="G44" s="20">
        <f t="shared" si="0"/>
        <v>2500</v>
      </c>
      <c r="H44" s="20">
        <f t="shared" si="1"/>
        <v>0</v>
      </c>
    </row>
    <row r="45" spans="2:14">
      <c r="B45" s="24" t="s">
        <v>260</v>
      </c>
      <c r="C45" s="17" t="s">
        <v>87</v>
      </c>
      <c r="D45" s="18">
        <f>SUMIFS(Livro_Diario!$E$2:$E$301,Livro_Diario!$C$2:$C$301,Balancete!$C45)</f>
        <v>288</v>
      </c>
      <c r="E45" s="18">
        <f>SUMIFS(Livro_Diario!$E$2:$E$301,Livro_Diario!$D$2:$D$301,Balancete!$C45)</f>
        <v>0</v>
      </c>
      <c r="F45" s="19">
        <f t="shared" si="2"/>
        <v>288</v>
      </c>
      <c r="G45" s="20">
        <f t="shared" si="0"/>
        <v>288</v>
      </c>
      <c r="H45" s="20">
        <f t="shared" si="1"/>
        <v>0</v>
      </c>
      <c r="L45" s="107">
        <f>L43-I43</f>
        <v>1508.3499999999985</v>
      </c>
      <c r="N45" s="108">
        <f>1269+1508</f>
        <v>2777</v>
      </c>
    </row>
    <row r="46" spans="2:14" ht="14.45">
      <c r="B46" s="24" t="s">
        <v>260</v>
      </c>
      <c r="C46" s="17" t="s">
        <v>89</v>
      </c>
      <c r="D46" s="18">
        <f>SUMIFS(Livro_Diario!$E$2:$E$301,Livro_Diario!$C$2:$C$301,Balancete!$C46)</f>
        <v>870</v>
      </c>
      <c r="E46" s="18">
        <f>SUMIFS(Livro_Diario!$E$2:$E$301,Livro_Diario!$D$2:$D$301,Balancete!$C46)</f>
        <v>0</v>
      </c>
      <c r="F46" s="19">
        <f t="shared" si="2"/>
        <v>870</v>
      </c>
      <c r="G46" s="20">
        <f t="shared" si="0"/>
        <v>870</v>
      </c>
      <c r="H46" s="20">
        <f t="shared" si="1"/>
        <v>0</v>
      </c>
    </row>
    <row r="47" spans="2:14" ht="14.45">
      <c r="B47" s="24" t="s">
        <v>260</v>
      </c>
      <c r="C47" s="17" t="s">
        <v>91</v>
      </c>
      <c r="D47" s="18">
        <f>SUMIFS(Livro_Diario!$E$2:$E$301,Livro_Diario!$C$2:$C$301,Balancete!$C47)</f>
        <v>279.95999999999998</v>
      </c>
      <c r="E47" s="18">
        <f>SUMIFS(Livro_Diario!$E$2:$E$301,Livro_Diario!$D$2:$D$301,Balancete!$C47)</f>
        <v>0</v>
      </c>
      <c r="F47" s="19">
        <f t="shared" si="2"/>
        <v>279.95999999999998</v>
      </c>
      <c r="G47" s="20">
        <f t="shared" si="0"/>
        <v>279.95999999999998</v>
      </c>
      <c r="H47" s="20">
        <f t="shared" si="1"/>
        <v>0</v>
      </c>
    </row>
    <row r="48" spans="2:14" ht="14.45">
      <c r="B48" s="24" t="s">
        <v>260</v>
      </c>
      <c r="C48" t="s">
        <v>93</v>
      </c>
      <c r="D48" s="18">
        <f>SUMIFS(Livro_Diario!$E$2:$E$301,Livro_Diario!$C$2:$C$301,Balancete!$C48)</f>
        <v>0</v>
      </c>
      <c r="E48" s="18">
        <f>SUMIFS(Livro_Diario!$E$2:$E$301,Livro_Diario!$D$2:$D$301,Balancete!$C48)</f>
        <v>0</v>
      </c>
      <c r="F48" s="19">
        <f t="shared" si="2"/>
        <v>0</v>
      </c>
      <c r="G48" s="20">
        <f t="shared" si="0"/>
        <v>0</v>
      </c>
      <c r="H48" s="20">
        <f t="shared" si="1"/>
        <v>0</v>
      </c>
    </row>
    <row r="49" spans="2:12" ht="14.45">
      <c r="B49" s="24" t="s">
        <v>260</v>
      </c>
      <c r="C49" s="31" t="s">
        <v>95</v>
      </c>
      <c r="D49" s="18">
        <f>SUMIFS(Livro_Diario!$E$2:$E$301,Livro_Diario!$C$2:$C$301,Balancete!$C49)</f>
        <v>2200</v>
      </c>
      <c r="E49" s="18">
        <f>SUMIFS(Livro_Diario!$E$2:$E$301,Livro_Diario!$D$2:$D$301,Balancete!$C49)</f>
        <v>0</v>
      </c>
      <c r="F49" s="19">
        <f t="shared" si="2"/>
        <v>2200</v>
      </c>
      <c r="G49" s="20">
        <f t="shared" si="0"/>
        <v>2200</v>
      </c>
      <c r="H49" s="20">
        <f t="shared" si="1"/>
        <v>0</v>
      </c>
    </row>
    <row r="50" spans="2:12" ht="14.45">
      <c r="B50" s="24" t="s">
        <v>260</v>
      </c>
      <c r="C50" s="34" t="s">
        <v>99</v>
      </c>
      <c r="D50" s="18">
        <f>SUMIFS(Livro_Diario!$E$2:$E$301,Livro_Diario!$C$2:$C$301,Balancete!$C50)</f>
        <v>2100</v>
      </c>
      <c r="E50" s="18">
        <f>SUMIFS(Livro_Diario!$E$2:$E$301,Livro_Diario!$D$2:$D$301,Balancete!$C50)</f>
        <v>0</v>
      </c>
      <c r="F50" s="19">
        <f t="shared" si="2"/>
        <v>2100</v>
      </c>
      <c r="G50" s="20">
        <f t="shared" si="0"/>
        <v>2100</v>
      </c>
      <c r="H50" s="20">
        <f t="shared" si="1"/>
        <v>0</v>
      </c>
    </row>
    <row r="51" spans="2:12" ht="14.45">
      <c r="B51" s="24" t="s">
        <v>260</v>
      </c>
      <c r="C51" s="33" t="s">
        <v>101</v>
      </c>
      <c r="D51" s="18">
        <f>SUMIFS(Livro_Diario!$E$2:$E$301,Livro_Diario!$C$2:$C$301,Balancete!$C51)</f>
        <v>174.99</v>
      </c>
      <c r="E51" s="18">
        <f>SUMIFS(Livro_Diario!$E$2:$E$301,Livro_Diario!$D$2:$D$301,Balancete!$C51)</f>
        <v>0</v>
      </c>
      <c r="F51" s="19">
        <f t="shared" si="2"/>
        <v>174.99</v>
      </c>
      <c r="G51" s="20">
        <f t="shared" si="0"/>
        <v>174.99</v>
      </c>
      <c r="H51" s="20">
        <f t="shared" si="1"/>
        <v>0</v>
      </c>
    </row>
    <row r="52" spans="2:12" ht="14.45">
      <c r="B52" s="24" t="s">
        <v>260</v>
      </c>
      <c r="C52" s="33" t="s">
        <v>103</v>
      </c>
      <c r="D52" s="18">
        <f>SUMIFS(Livro_Diario!$E$2:$E$301,Livro_Diario!$C$2:$C$301,Balancete!$C52)</f>
        <v>233.31</v>
      </c>
      <c r="E52" s="18">
        <f>SUMIFS(Livro_Diario!$E$2:$E$301,Livro_Diario!$D$2:$D$301,Balancete!$C52)</f>
        <v>0</v>
      </c>
      <c r="F52" s="19">
        <f t="shared" si="2"/>
        <v>233.31</v>
      </c>
      <c r="G52" s="20">
        <f t="shared" si="0"/>
        <v>233.31</v>
      </c>
      <c r="H52" s="20">
        <f t="shared" si="1"/>
        <v>0</v>
      </c>
    </row>
    <row r="53" spans="2:12" ht="14.45">
      <c r="B53" s="24" t="s">
        <v>260</v>
      </c>
      <c r="C53" s="33" t="s">
        <v>105</v>
      </c>
      <c r="D53" s="18">
        <f>SUMIFS(Livro_Diario!$E$2:$E$301,Livro_Diario!$C$2:$C$301,Balancete!$C53)</f>
        <v>200.64</v>
      </c>
      <c r="E53" s="18">
        <f>SUMIFS(Livro_Diario!$E$2:$E$301,Livro_Diario!$D$2:$D$301,Balancete!$C53)</f>
        <v>0</v>
      </c>
      <c r="F53" s="19">
        <f t="shared" si="2"/>
        <v>200.64</v>
      </c>
      <c r="G53" s="20">
        <f t="shared" si="0"/>
        <v>200.64</v>
      </c>
      <c r="H53" s="20">
        <f t="shared" si="1"/>
        <v>0</v>
      </c>
    </row>
    <row r="54" spans="2:12" ht="14.45">
      <c r="B54" s="24" t="s">
        <v>260</v>
      </c>
      <c r="C54" s="33" t="s">
        <v>107</v>
      </c>
      <c r="D54" s="18">
        <f>SUMIFS(Livro_Diario!$E$2:$E$301,Livro_Diario!$C$2:$C$301,Balancete!$C54)</f>
        <v>3000</v>
      </c>
      <c r="E54" s="18">
        <f>SUMIFS(Livro_Diario!$E$2:$E$301,Livro_Diario!$D$2:$D$301,Balancete!$C54)</f>
        <v>0</v>
      </c>
      <c r="F54" s="19">
        <f t="shared" si="2"/>
        <v>3000</v>
      </c>
      <c r="G54" s="20">
        <f t="shared" si="0"/>
        <v>3000</v>
      </c>
      <c r="H54" s="20">
        <f t="shared" si="1"/>
        <v>0</v>
      </c>
    </row>
    <row r="55" spans="2:12" ht="14.45">
      <c r="B55" s="24" t="s">
        <v>260</v>
      </c>
      <c r="C55" s="43" t="s">
        <v>109</v>
      </c>
      <c r="D55" s="18">
        <f>SUMIFS(Livro_Diario!$E$2:$E$301,Livro_Diario!$C$2:$C$301,Balancete!$C55)</f>
        <v>910</v>
      </c>
      <c r="E55" s="18">
        <f>SUMIFS(Livro_Diario!$E$2:$E$301,Livro_Diario!$D$2:$D$301,Balancete!$C55)</f>
        <v>0</v>
      </c>
      <c r="F55" s="19">
        <f t="shared" si="2"/>
        <v>910</v>
      </c>
      <c r="G55" s="20">
        <f t="shared" si="0"/>
        <v>910</v>
      </c>
      <c r="H55" s="20">
        <f t="shared" si="1"/>
        <v>0</v>
      </c>
    </row>
    <row r="56" spans="2:12" ht="14.45">
      <c r="B56" s="24" t="s">
        <v>260</v>
      </c>
      <c r="C56" t="s">
        <v>111</v>
      </c>
      <c r="D56" s="18">
        <f>SUMIFS(Livro_Diario!$E$2:$E$301,Livro_Diario!$C$2:$C$301,Balancete!$C56)</f>
        <v>1204</v>
      </c>
      <c r="E56" s="18">
        <f>SUMIFS(Livro_Diario!$E$2:$E$301,Livro_Diario!$D$2:$D$301,Balancete!$C56)</f>
        <v>0</v>
      </c>
      <c r="F56" s="19">
        <f t="shared" si="2"/>
        <v>1204</v>
      </c>
      <c r="G56" s="20">
        <f t="shared" si="0"/>
        <v>1204</v>
      </c>
      <c r="H56" s="20">
        <f t="shared" si="1"/>
        <v>0</v>
      </c>
    </row>
    <row r="57" spans="2:12" ht="14.45">
      <c r="B57" s="24" t="s">
        <v>260</v>
      </c>
      <c r="C57" s="43" t="s">
        <v>264</v>
      </c>
      <c r="D57" s="18">
        <f>SUMIFS(Livro_Diario!$E$2:$E$301,Livro_Diario!$C$2:$C$301,Balancete!$C57)</f>
        <v>0</v>
      </c>
      <c r="E57" s="18">
        <f>SUMIFS(Livro_Diario!$E$2:$E$301,Livro_Diario!$D$2:$D$301,Balancete!$C57)</f>
        <v>0</v>
      </c>
      <c r="F57" s="19">
        <f t="shared" si="2"/>
        <v>0</v>
      </c>
      <c r="G57" s="20">
        <f t="shared" si="0"/>
        <v>0</v>
      </c>
      <c r="H57" s="20">
        <f t="shared" si="1"/>
        <v>0</v>
      </c>
    </row>
    <row r="58" spans="2:12" ht="14.45">
      <c r="B58" s="24" t="s">
        <v>260</v>
      </c>
      <c r="C58" s="43" t="s">
        <v>199</v>
      </c>
      <c r="D58" s="18">
        <f>SUMIFS(Livro_Diario!$E$2:$E$301,Livro_Diario!$C$2:$C$301,Balancete!$C58)</f>
        <v>596.40000000000009</v>
      </c>
      <c r="E58" s="18">
        <f>SUMIFS(Livro_Diario!$E$2:$E$301,Livro_Diario!$D$2:$D$301,Balancete!$C58)</f>
        <v>0</v>
      </c>
      <c r="F58" s="19">
        <f t="shared" si="2"/>
        <v>596.40000000000009</v>
      </c>
      <c r="G58" s="20">
        <f t="shared" si="0"/>
        <v>596.40000000000009</v>
      </c>
      <c r="H58" s="20">
        <f t="shared" si="1"/>
        <v>0</v>
      </c>
    </row>
    <row r="59" spans="2:12" ht="17.45" customHeight="1">
      <c r="B59" s="24" t="s">
        <v>260</v>
      </c>
      <c r="C59" t="s">
        <v>117</v>
      </c>
      <c r="D59" s="18">
        <f>SUMIFS(Livro_Diario!$E$2:$E$301,Livro_Diario!$C$2:$C$301,Balancete!$C59)</f>
        <v>0</v>
      </c>
      <c r="E59" s="18">
        <f>SUMIFS(Livro_Diario!$E$2:$E$301,Livro_Diario!$D$2:$D$301,Balancete!$C59)</f>
        <v>0</v>
      </c>
      <c r="F59" s="19">
        <f t="shared" si="2"/>
        <v>0</v>
      </c>
      <c r="G59" s="20">
        <f t="shared" si="0"/>
        <v>0</v>
      </c>
      <c r="H59" s="20">
        <f t="shared" si="1"/>
        <v>0</v>
      </c>
      <c r="K59" s="40"/>
      <c r="L59" s="41"/>
    </row>
    <row r="60" spans="2:12" ht="18">
      <c r="B60" s="98" t="s">
        <v>265</v>
      </c>
      <c r="C60" s="99"/>
      <c r="D60" s="25">
        <f>SUM(D4:D59)</f>
        <v>166864.24999999997</v>
      </c>
      <c r="E60" s="25">
        <f>SUM(E4:E59)</f>
        <v>166864.25</v>
      </c>
      <c r="F60" s="26">
        <f>SUM(F4:F59)</f>
        <v>5.9117155615240335E-12</v>
      </c>
      <c r="G60" s="27">
        <f>SUM(G4:G59)</f>
        <v>122075.03</v>
      </c>
      <c r="H60" s="27">
        <f>SUM(H4:H59)</f>
        <v>122075.03</v>
      </c>
      <c r="K60" s="37"/>
      <c r="L60" s="38"/>
    </row>
    <row r="61" spans="2:12" ht="15" customHeight="1">
      <c r="K61" s="37"/>
      <c r="L61" s="38"/>
    </row>
    <row r="62" spans="2:12" ht="18">
      <c r="F62" s="16"/>
      <c r="G62" s="16"/>
      <c r="H62" s="36"/>
      <c r="K62" s="37"/>
      <c r="L62" s="38"/>
    </row>
    <row r="63" spans="2:12" ht="18">
      <c r="D63" s="19"/>
      <c r="G63" s="19"/>
      <c r="H63" s="16"/>
      <c r="K63" s="37"/>
      <c r="L63" s="38"/>
    </row>
    <row r="64" spans="2:12" ht="15" customHeight="1">
      <c r="K64" s="37"/>
      <c r="L64" s="38"/>
    </row>
    <row r="65" spans="4:12" ht="18">
      <c r="D65" s="16"/>
      <c r="G65" s="16"/>
      <c r="K65" s="37"/>
      <c r="L65" s="38"/>
    </row>
    <row r="66" spans="4:12" ht="15" customHeight="1">
      <c r="K66" s="37"/>
      <c r="L66" s="38"/>
    </row>
    <row r="67" spans="4:12" ht="15" customHeight="1">
      <c r="K67" s="37"/>
      <c r="L67" s="38"/>
    </row>
    <row r="68" spans="4:12" ht="15" customHeight="1">
      <c r="K68" s="42"/>
      <c r="L68" s="39"/>
    </row>
  </sheetData>
  <mergeCells count="2">
    <mergeCell ref="B2:H2"/>
    <mergeCell ref="B60:C6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3231-227E-4F76-B425-0A3A35DEA329}">
  <dimension ref="B1:F59"/>
  <sheetViews>
    <sheetView showGridLines="0" topLeftCell="A44" zoomScale="160" zoomScaleNormal="160" workbookViewId="0">
      <selection activeCell="B32" sqref="B32"/>
    </sheetView>
  </sheetViews>
  <sheetFormatPr defaultRowHeight="14.45"/>
  <cols>
    <col min="1" max="1" width="4.5703125" customWidth="1"/>
    <col min="3" max="3" width="38.85546875" customWidth="1"/>
    <col min="4" max="4" width="15" customWidth="1"/>
    <col min="5" max="5" width="14" customWidth="1"/>
    <col min="6" max="6" width="11.85546875" bestFit="1" customWidth="1"/>
  </cols>
  <sheetData>
    <row r="1" spans="2:5" ht="15.6">
      <c r="B1" s="100" t="s">
        <v>251</v>
      </c>
      <c r="C1" s="100"/>
      <c r="D1" s="100"/>
      <c r="E1" s="100"/>
    </row>
    <row r="2" spans="2:5">
      <c r="B2" s="109" t="s">
        <v>252</v>
      </c>
      <c r="C2" s="109" t="s">
        <v>1</v>
      </c>
      <c r="D2" s="110" t="s">
        <v>253</v>
      </c>
      <c r="E2" s="110" t="s">
        <v>254</v>
      </c>
    </row>
    <row r="3" spans="2:5">
      <c r="B3" s="24" t="s">
        <v>255</v>
      </c>
      <c r="C3" s="71" t="s">
        <v>7</v>
      </c>
      <c r="D3" s="111">
        <v>70194.37</v>
      </c>
      <c r="E3" s="93">
        <v>0</v>
      </c>
    </row>
    <row r="4" spans="2:5" hidden="1">
      <c r="B4" s="24" t="s">
        <v>255</v>
      </c>
      <c r="C4" s="17" t="s">
        <v>9</v>
      </c>
      <c r="D4" s="93">
        <v>0</v>
      </c>
      <c r="E4" s="93">
        <v>0</v>
      </c>
    </row>
    <row r="5" spans="2:5" hidden="1">
      <c r="B5" s="24" t="s">
        <v>256</v>
      </c>
      <c r="C5" s="71" t="s">
        <v>11</v>
      </c>
      <c r="D5" s="111">
        <v>0</v>
      </c>
      <c r="E5" s="93">
        <v>0</v>
      </c>
    </row>
    <row r="6" spans="2:5">
      <c r="B6" s="24" t="s">
        <v>256</v>
      </c>
      <c r="C6" s="17" t="s">
        <v>14</v>
      </c>
      <c r="D6" s="93">
        <v>7260</v>
      </c>
      <c r="E6" s="93">
        <v>0</v>
      </c>
    </row>
    <row r="7" spans="2:5">
      <c r="B7" s="24" t="s">
        <v>256</v>
      </c>
      <c r="C7" s="17" t="s">
        <v>16</v>
      </c>
      <c r="D7" s="93">
        <v>8298</v>
      </c>
      <c r="E7" s="93">
        <v>0</v>
      </c>
    </row>
    <row r="8" spans="2:5">
      <c r="B8" s="29" t="s">
        <v>256</v>
      </c>
      <c r="C8" s="17" t="s">
        <v>17</v>
      </c>
      <c r="D8" s="93">
        <v>0</v>
      </c>
      <c r="E8" s="93">
        <v>596.4</v>
      </c>
    </row>
    <row r="9" spans="2:5">
      <c r="B9" s="24" t="s">
        <v>258</v>
      </c>
      <c r="C9" s="17" t="s">
        <v>27</v>
      </c>
      <c r="D9" s="93">
        <v>0</v>
      </c>
      <c r="E9" s="92">
        <v>12688.41</v>
      </c>
    </row>
    <row r="10" spans="2:5">
      <c r="B10" s="24" t="s">
        <v>258</v>
      </c>
      <c r="C10" s="17" t="s">
        <v>29</v>
      </c>
      <c r="D10" s="93">
        <v>0</v>
      </c>
      <c r="E10" s="93">
        <v>2482.8200000000002</v>
      </c>
    </row>
    <row r="11" spans="2:5">
      <c r="B11" s="24" t="s">
        <v>258</v>
      </c>
      <c r="C11" s="34" t="s">
        <v>31</v>
      </c>
      <c r="D11" s="93">
        <v>0</v>
      </c>
      <c r="E11" s="93">
        <v>440.18</v>
      </c>
    </row>
    <row r="12" spans="2:5">
      <c r="B12" s="24" t="s">
        <v>258</v>
      </c>
      <c r="C12" s="70" t="s">
        <v>33</v>
      </c>
      <c r="D12" s="93">
        <v>0</v>
      </c>
      <c r="E12" s="93">
        <v>611.36</v>
      </c>
    </row>
    <row r="13" spans="2:5">
      <c r="B13" s="24" t="s">
        <v>258</v>
      </c>
      <c r="C13" t="s">
        <v>35</v>
      </c>
      <c r="D13" s="93">
        <v>0</v>
      </c>
      <c r="E13" s="93">
        <v>815.12</v>
      </c>
    </row>
    <row r="14" spans="2:5">
      <c r="B14" s="24" t="s">
        <v>258</v>
      </c>
      <c r="C14" s="17" t="s">
        <v>37</v>
      </c>
      <c r="D14" s="93">
        <v>0</v>
      </c>
      <c r="E14" s="93">
        <v>344.65</v>
      </c>
    </row>
    <row r="15" spans="2:5">
      <c r="B15" s="24" t="s">
        <v>258</v>
      </c>
      <c r="C15" s="17" t="s">
        <v>39</v>
      </c>
      <c r="D15" s="93">
        <v>0</v>
      </c>
      <c r="E15" s="93">
        <v>1546.09</v>
      </c>
    </row>
    <row r="16" spans="2:5">
      <c r="B16" s="24" t="s">
        <v>258</v>
      </c>
      <c r="C16" s="17" t="s">
        <v>42</v>
      </c>
      <c r="D16" s="93">
        <v>0</v>
      </c>
      <c r="E16" s="93">
        <v>3560</v>
      </c>
    </row>
    <row r="17" spans="2:5">
      <c r="B17" s="24" t="s">
        <v>258</v>
      </c>
      <c r="C17" s="17" t="s">
        <v>44</v>
      </c>
      <c r="D17" s="93">
        <v>0</v>
      </c>
      <c r="E17" s="112">
        <v>870</v>
      </c>
    </row>
    <row r="18" spans="2:5" hidden="1">
      <c r="B18" s="24" t="s">
        <v>258</v>
      </c>
      <c r="C18" s="17" t="s">
        <v>48</v>
      </c>
      <c r="D18" s="93">
        <v>0</v>
      </c>
      <c r="E18" s="113">
        <v>0</v>
      </c>
    </row>
    <row r="19" spans="2:5">
      <c r="B19" s="24" t="s">
        <v>259</v>
      </c>
      <c r="C19" s="17" t="s">
        <v>50</v>
      </c>
      <c r="D19" s="93">
        <v>0</v>
      </c>
      <c r="E19" s="114">
        <v>70000</v>
      </c>
    </row>
    <row r="20" spans="2:5" hidden="1">
      <c r="B20" s="24" t="s">
        <v>259</v>
      </c>
      <c r="C20" s="17" t="s">
        <v>53</v>
      </c>
      <c r="D20" s="93">
        <v>0</v>
      </c>
      <c r="E20" s="94">
        <v>0</v>
      </c>
    </row>
    <row r="21" spans="2:5">
      <c r="B21" s="24" t="s">
        <v>260</v>
      </c>
      <c r="C21" s="17" t="s">
        <v>58</v>
      </c>
      <c r="D21" s="93">
        <v>0</v>
      </c>
      <c r="E21" s="115">
        <v>9400</v>
      </c>
    </row>
    <row r="22" spans="2:5">
      <c r="B22" s="24" t="s">
        <v>260</v>
      </c>
      <c r="C22" s="17" t="s">
        <v>60</v>
      </c>
      <c r="D22" s="93">
        <v>0</v>
      </c>
      <c r="E22" s="93">
        <v>3000</v>
      </c>
    </row>
    <row r="23" spans="2:5">
      <c r="B23" s="24" t="s">
        <v>260</v>
      </c>
      <c r="C23" s="34" t="s">
        <v>62</v>
      </c>
      <c r="D23" s="93">
        <v>0</v>
      </c>
      <c r="E23" s="93">
        <v>2250</v>
      </c>
    </row>
    <row r="24" spans="2:5">
      <c r="B24" s="24" t="s">
        <v>260</v>
      </c>
      <c r="C24" s="35" t="s">
        <v>64</v>
      </c>
      <c r="D24" s="93">
        <v>0</v>
      </c>
      <c r="E24" s="93">
        <v>900</v>
      </c>
    </row>
    <row r="25" spans="2:5">
      <c r="B25" s="24" t="s">
        <v>260</v>
      </c>
      <c r="C25" s="72" t="s">
        <v>66</v>
      </c>
      <c r="D25" s="93">
        <v>0</v>
      </c>
      <c r="E25" s="93">
        <v>2200</v>
      </c>
    </row>
    <row r="26" spans="2:5">
      <c r="B26" s="24" t="s">
        <v>260</v>
      </c>
      <c r="C26" s="33" t="s">
        <v>68</v>
      </c>
      <c r="D26" s="93">
        <v>0</v>
      </c>
      <c r="E26" s="93">
        <v>10370</v>
      </c>
    </row>
    <row r="27" spans="2:5">
      <c r="B27" s="24" t="s">
        <v>260</v>
      </c>
      <c r="C27" s="33" t="s">
        <v>122</v>
      </c>
      <c r="D27" s="93">
        <v>590</v>
      </c>
      <c r="E27" s="93">
        <v>0</v>
      </c>
    </row>
    <row r="28" spans="2:5">
      <c r="B28" s="24" t="s">
        <v>260</v>
      </c>
      <c r="C28" s="69" t="s">
        <v>124</v>
      </c>
      <c r="D28" s="93">
        <v>9000</v>
      </c>
      <c r="E28" s="93">
        <v>0</v>
      </c>
    </row>
    <row r="29" spans="2:5">
      <c r="B29" s="24" t="s">
        <v>260</v>
      </c>
      <c r="C29" t="s">
        <v>126</v>
      </c>
      <c r="D29" s="93">
        <v>5236.3999999999996</v>
      </c>
      <c r="E29" s="93">
        <v>0</v>
      </c>
    </row>
    <row r="30" spans="2:5" hidden="1">
      <c r="B30" s="24" t="s">
        <v>260</v>
      </c>
      <c r="C30" s="17" t="s">
        <v>128</v>
      </c>
      <c r="D30" s="93">
        <v>0</v>
      </c>
      <c r="E30" s="93">
        <v>0</v>
      </c>
    </row>
    <row r="31" spans="2:5">
      <c r="B31" s="24" t="s">
        <v>260</v>
      </c>
      <c r="C31" s="17" t="s">
        <v>130</v>
      </c>
      <c r="D31" s="93">
        <v>418.92</v>
      </c>
      <c r="E31" s="93">
        <v>0</v>
      </c>
    </row>
    <row r="32" spans="2:5">
      <c r="B32" s="24" t="s">
        <v>260</v>
      </c>
      <c r="C32" s="17" t="s">
        <v>132</v>
      </c>
      <c r="D32" s="93">
        <v>436.37</v>
      </c>
      <c r="E32" s="93">
        <v>0</v>
      </c>
    </row>
    <row r="33" spans="2:6">
      <c r="B33" s="24" t="s">
        <v>260</v>
      </c>
      <c r="C33" s="17" t="s">
        <v>134</v>
      </c>
      <c r="D33" s="93">
        <v>581.80999999999995</v>
      </c>
      <c r="E33" s="93">
        <v>0</v>
      </c>
    </row>
    <row r="34" spans="2:6">
      <c r="B34" s="24" t="s">
        <v>260</v>
      </c>
      <c r="C34" s="70" t="s">
        <v>136</v>
      </c>
      <c r="D34" s="93">
        <v>81.459999999999994</v>
      </c>
      <c r="E34" s="93">
        <v>0</v>
      </c>
    </row>
    <row r="35" spans="2:6">
      <c r="B35" s="24" t="s">
        <v>260</v>
      </c>
      <c r="C35" s="17" t="s">
        <v>224</v>
      </c>
      <c r="D35" s="93">
        <v>1124.8</v>
      </c>
      <c r="E35" s="93">
        <v>0</v>
      </c>
    </row>
    <row r="36" spans="2:6">
      <c r="B36" s="24" t="s">
        <v>260</v>
      </c>
      <c r="C36" s="33" t="s">
        <v>169</v>
      </c>
      <c r="D36" s="93">
        <v>295.69</v>
      </c>
      <c r="E36" s="93">
        <v>0</v>
      </c>
    </row>
    <row r="37" spans="2:6">
      <c r="B37" s="24" t="s">
        <v>260</v>
      </c>
      <c r="C37" s="33" t="s">
        <v>75</v>
      </c>
      <c r="D37" s="111">
        <v>554.66999999999996</v>
      </c>
      <c r="E37" s="93">
        <v>0</v>
      </c>
    </row>
    <row r="38" spans="2:6">
      <c r="B38" s="24" t="s">
        <v>260</v>
      </c>
      <c r="C38" s="33" t="s">
        <v>154</v>
      </c>
      <c r="D38" s="93">
        <v>430.36</v>
      </c>
      <c r="E38" s="93">
        <v>0</v>
      </c>
    </row>
    <row r="39" spans="2:6">
      <c r="B39" s="24" t="s">
        <v>260</v>
      </c>
      <c r="C39" s="33" t="s">
        <v>151</v>
      </c>
      <c r="D39" s="111">
        <v>377.46</v>
      </c>
      <c r="E39" s="93">
        <v>0</v>
      </c>
    </row>
    <row r="40" spans="2:6">
      <c r="B40" s="24" t="s">
        <v>260</v>
      </c>
      <c r="C40" t="s">
        <v>81</v>
      </c>
      <c r="D40" s="93">
        <v>1907.42</v>
      </c>
      <c r="E40" s="93">
        <v>0</v>
      </c>
      <c r="F40" s="16"/>
    </row>
    <row r="41" spans="2:6">
      <c r="B41" s="24" t="s">
        <v>260</v>
      </c>
      <c r="C41" s="17" t="s">
        <v>83</v>
      </c>
      <c r="D41" s="93">
        <v>730</v>
      </c>
      <c r="E41" s="93">
        <v>0</v>
      </c>
    </row>
    <row r="42" spans="2:6">
      <c r="B42" s="24" t="s">
        <v>260</v>
      </c>
      <c r="C42" t="s">
        <v>182</v>
      </c>
      <c r="D42" s="93">
        <v>2500</v>
      </c>
      <c r="E42" s="93">
        <v>0</v>
      </c>
    </row>
    <row r="43" spans="2:6">
      <c r="B43" s="24" t="s">
        <v>260</v>
      </c>
      <c r="C43" s="17" t="s">
        <v>87</v>
      </c>
      <c r="D43" s="111">
        <v>288</v>
      </c>
      <c r="E43" s="93">
        <v>0</v>
      </c>
    </row>
    <row r="44" spans="2:6">
      <c r="B44" s="24" t="s">
        <v>260</v>
      </c>
      <c r="C44" s="17" t="s">
        <v>89</v>
      </c>
      <c r="D44" s="93">
        <v>870</v>
      </c>
      <c r="E44" s="93">
        <v>0</v>
      </c>
    </row>
    <row r="45" spans="2:6">
      <c r="B45" s="24" t="s">
        <v>260</v>
      </c>
      <c r="C45" s="17" t="s">
        <v>91</v>
      </c>
      <c r="D45" s="93">
        <v>279.95999999999998</v>
      </c>
      <c r="E45" s="93">
        <v>0</v>
      </c>
    </row>
    <row r="46" spans="2:6" hidden="1">
      <c r="B46" s="24" t="s">
        <v>260</v>
      </c>
      <c r="C46" t="s">
        <v>93</v>
      </c>
      <c r="D46" s="93">
        <v>0</v>
      </c>
      <c r="E46" s="93">
        <v>0</v>
      </c>
    </row>
    <row r="47" spans="2:6">
      <c r="B47" s="24" t="s">
        <v>260</v>
      </c>
      <c r="C47" s="31" t="s">
        <v>95</v>
      </c>
      <c r="D47" s="93">
        <v>2200</v>
      </c>
      <c r="E47" s="93">
        <v>0</v>
      </c>
    </row>
    <row r="48" spans="2:6">
      <c r="B48" s="24" t="s">
        <v>260</v>
      </c>
      <c r="C48" s="34" t="s">
        <v>99</v>
      </c>
      <c r="D48" s="111">
        <v>2100</v>
      </c>
      <c r="E48" s="93">
        <v>0</v>
      </c>
    </row>
    <row r="49" spans="2:5">
      <c r="B49" s="24" t="s">
        <v>260</v>
      </c>
      <c r="C49" s="33" t="s">
        <v>101</v>
      </c>
      <c r="D49" s="116">
        <v>174.99</v>
      </c>
      <c r="E49" s="93">
        <v>0</v>
      </c>
    </row>
    <row r="50" spans="2:5">
      <c r="B50" s="24" t="s">
        <v>260</v>
      </c>
      <c r="C50" s="33" t="s">
        <v>103</v>
      </c>
      <c r="D50" s="116">
        <v>233.31</v>
      </c>
      <c r="E50" s="93">
        <v>0</v>
      </c>
    </row>
    <row r="51" spans="2:5">
      <c r="B51" s="24" t="s">
        <v>260</v>
      </c>
      <c r="C51" s="33" t="s">
        <v>105</v>
      </c>
      <c r="D51" s="111">
        <v>200.64</v>
      </c>
      <c r="E51" s="93">
        <v>0</v>
      </c>
    </row>
    <row r="52" spans="2:5">
      <c r="B52" s="24" t="s">
        <v>260</v>
      </c>
      <c r="C52" s="33" t="s">
        <v>107</v>
      </c>
      <c r="D52" s="116">
        <v>3000</v>
      </c>
      <c r="E52" s="93">
        <v>0</v>
      </c>
    </row>
    <row r="53" spans="2:5">
      <c r="B53" s="24" t="s">
        <v>260</v>
      </c>
      <c r="C53" s="74" t="s">
        <v>109</v>
      </c>
      <c r="D53" s="116">
        <v>910</v>
      </c>
      <c r="E53" s="93">
        <v>0</v>
      </c>
    </row>
    <row r="54" spans="2:5">
      <c r="B54" s="24" t="s">
        <v>260</v>
      </c>
      <c r="C54" s="73" t="s">
        <v>111</v>
      </c>
      <c r="D54" s="116">
        <v>1204</v>
      </c>
      <c r="E54" s="93">
        <v>0</v>
      </c>
    </row>
    <row r="55" spans="2:5" hidden="1">
      <c r="B55" s="24" t="s">
        <v>260</v>
      </c>
      <c r="C55" s="43" t="s">
        <v>264</v>
      </c>
      <c r="D55" s="116">
        <v>0</v>
      </c>
      <c r="E55" s="93">
        <v>0</v>
      </c>
    </row>
    <row r="56" spans="2:5">
      <c r="B56" s="24" t="s">
        <v>260</v>
      </c>
      <c r="C56" s="43" t="s">
        <v>266</v>
      </c>
      <c r="D56" s="117">
        <v>596.4</v>
      </c>
      <c r="E56" s="93">
        <v>0</v>
      </c>
    </row>
    <row r="57" spans="2:5">
      <c r="B57" s="98" t="s">
        <v>265</v>
      </c>
      <c r="C57" s="99"/>
      <c r="D57" s="25">
        <f>SUM(D3:D56)</f>
        <v>122075.03</v>
      </c>
      <c r="E57" s="25">
        <f>SUM(E3:E56)</f>
        <v>122075.03</v>
      </c>
    </row>
    <row r="59" spans="2:5">
      <c r="E59" s="16"/>
    </row>
  </sheetData>
  <mergeCells count="2">
    <mergeCell ref="B1:E1"/>
    <mergeCell ref="B57:C5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D9DB-3EB2-451D-B787-31F2CCF84352}">
  <dimension ref="A2:Q116"/>
  <sheetViews>
    <sheetView zoomScaleNormal="100" workbookViewId="0">
      <selection activeCell="D4" sqref="D4"/>
    </sheetView>
  </sheetViews>
  <sheetFormatPr defaultRowHeight="14.45"/>
  <cols>
    <col min="1" max="1" width="8.85546875" customWidth="1"/>
    <col min="2" max="2" width="28.7109375" customWidth="1"/>
    <col min="3" max="4" width="20.28515625" customWidth="1"/>
    <col min="5" max="5" width="28.28515625" customWidth="1"/>
    <col min="6" max="7" width="20.28515625" customWidth="1"/>
    <col min="8" max="8" width="28.28515625" customWidth="1"/>
    <col min="9" max="9" width="20.28515625" customWidth="1"/>
  </cols>
  <sheetData>
    <row r="2" spans="1:17" ht="24.6">
      <c r="A2" s="101" t="s">
        <v>267</v>
      </c>
      <c r="B2" s="101"/>
    </row>
    <row r="4" spans="1:17" ht="21">
      <c r="A4" s="49"/>
      <c r="B4" s="49" t="s">
        <v>268</v>
      </c>
      <c r="C4" s="49"/>
      <c r="D4" s="49"/>
      <c r="E4" s="49" t="s">
        <v>269</v>
      </c>
      <c r="F4" s="49"/>
      <c r="G4" s="49"/>
      <c r="H4" s="49"/>
      <c r="I4" s="49"/>
      <c r="J4" s="49"/>
      <c r="K4" s="49"/>
    </row>
    <row r="5" spans="1:17" ht="21">
      <c r="A5" s="49"/>
      <c r="B5" s="49" t="s">
        <v>270</v>
      </c>
      <c r="C5" s="49"/>
      <c r="D5" s="49"/>
      <c r="E5" s="49" t="s">
        <v>271</v>
      </c>
      <c r="F5" s="49"/>
      <c r="G5" s="49"/>
      <c r="H5" s="49"/>
      <c r="I5" s="49"/>
      <c r="J5" s="49"/>
      <c r="K5" s="49"/>
    </row>
    <row r="6" spans="1:17" ht="21">
      <c r="A6" s="49"/>
      <c r="B6" s="49" t="s">
        <v>272</v>
      </c>
      <c r="C6" s="49"/>
      <c r="D6" s="49"/>
      <c r="E6" s="49" t="s">
        <v>273</v>
      </c>
      <c r="F6" s="49"/>
      <c r="G6" s="49"/>
      <c r="H6" s="50" t="s">
        <v>274</v>
      </c>
      <c r="I6" s="49"/>
      <c r="J6" s="49"/>
      <c r="K6" s="49"/>
    </row>
    <row r="7" spans="1:17" ht="2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7" ht="21">
      <c r="A8" s="49"/>
      <c r="B8" s="49" t="s">
        <v>275</v>
      </c>
      <c r="C8" s="51">
        <v>700</v>
      </c>
      <c r="D8" s="49"/>
      <c r="E8" s="49" t="s">
        <v>275</v>
      </c>
      <c r="F8" s="51">
        <v>872.76</v>
      </c>
      <c r="G8" s="49"/>
      <c r="H8" s="49" t="s">
        <v>275</v>
      </c>
      <c r="I8" s="52">
        <f t="shared" ref="I8:I17" si="0">C8+F8</f>
        <v>1572.76</v>
      </c>
      <c r="J8" s="49"/>
      <c r="K8" s="49" t="s">
        <v>276</v>
      </c>
      <c r="Q8" s="66"/>
    </row>
    <row r="9" spans="1:17" ht="21">
      <c r="A9" s="49"/>
      <c r="B9" s="49" t="s">
        <v>277</v>
      </c>
      <c r="C9" s="67">
        <v>52.5</v>
      </c>
      <c r="D9" s="49"/>
      <c r="E9" s="49" t="s">
        <v>278</v>
      </c>
      <c r="F9" s="67">
        <v>65.459999999999994</v>
      </c>
      <c r="G9" s="49"/>
      <c r="H9" s="49" t="s">
        <v>279</v>
      </c>
      <c r="I9" s="68">
        <f t="shared" si="0"/>
        <v>117.96</v>
      </c>
      <c r="J9" s="49"/>
      <c r="K9" s="49"/>
      <c r="Q9" s="66"/>
    </row>
    <row r="10" spans="1:17" ht="21">
      <c r="A10" s="49"/>
      <c r="B10" s="49" t="s">
        <v>280</v>
      </c>
      <c r="C10" s="67">
        <v>42</v>
      </c>
      <c r="D10" s="49"/>
      <c r="E10" s="49" t="s">
        <v>280</v>
      </c>
      <c r="F10" s="67">
        <v>52.36</v>
      </c>
      <c r="G10" s="49"/>
      <c r="H10" s="49" t="s">
        <v>280</v>
      </c>
      <c r="I10" s="68">
        <f t="shared" si="0"/>
        <v>94.36</v>
      </c>
      <c r="J10" s="49"/>
      <c r="K10" s="49"/>
      <c r="Q10" s="66"/>
    </row>
    <row r="11" spans="1:17" ht="21">
      <c r="A11" s="49"/>
      <c r="B11" s="49" t="s">
        <v>281</v>
      </c>
      <c r="C11" s="51">
        <f>700-C9-C10</f>
        <v>605.5</v>
      </c>
      <c r="D11" s="49"/>
      <c r="E11" s="49" t="s">
        <v>281</v>
      </c>
      <c r="F11" s="51">
        <f>F8-F9-F10</f>
        <v>754.93999999999994</v>
      </c>
      <c r="G11" s="49"/>
      <c r="H11" s="49" t="s">
        <v>281</v>
      </c>
      <c r="I11" s="52">
        <f>I8-I9-I10</f>
        <v>1360.44</v>
      </c>
      <c r="J11" s="49"/>
      <c r="K11" s="49"/>
      <c r="Q11" s="66"/>
    </row>
    <row r="12" spans="1:17" ht="21">
      <c r="A12" s="49"/>
      <c r="B12" s="49" t="s">
        <v>282</v>
      </c>
      <c r="C12" s="51">
        <v>56</v>
      </c>
      <c r="D12" s="49"/>
      <c r="E12" s="49" t="s">
        <v>282</v>
      </c>
      <c r="F12" s="51">
        <v>69.819999999999993</v>
      </c>
      <c r="G12" s="49"/>
      <c r="H12" s="49" t="s">
        <v>282</v>
      </c>
      <c r="I12" s="52">
        <f t="shared" si="0"/>
        <v>125.82</v>
      </c>
      <c r="J12" s="49"/>
      <c r="K12" s="49"/>
    </row>
    <row r="13" spans="1:17" ht="21">
      <c r="A13" s="49"/>
      <c r="B13" s="49" t="s">
        <v>283</v>
      </c>
      <c r="C13" s="51">
        <v>77.77</v>
      </c>
      <c r="D13" s="49"/>
      <c r="E13" s="49" t="s">
        <v>283</v>
      </c>
      <c r="F13" s="51">
        <v>96.97</v>
      </c>
      <c r="G13" s="49"/>
      <c r="H13" s="49" t="s">
        <v>283</v>
      </c>
      <c r="I13" s="52">
        <f t="shared" si="0"/>
        <v>174.74</v>
      </c>
      <c r="J13" s="49"/>
      <c r="K13" s="49"/>
    </row>
    <row r="14" spans="1:17" ht="21">
      <c r="A14" s="49"/>
      <c r="B14" s="49" t="s">
        <v>284</v>
      </c>
      <c r="C14" s="51">
        <v>58.33</v>
      </c>
      <c r="D14" s="49"/>
      <c r="E14" s="49" t="s">
        <v>284</v>
      </c>
      <c r="F14" s="51">
        <v>72.73</v>
      </c>
      <c r="G14" s="49"/>
      <c r="H14" s="49" t="s">
        <v>284</v>
      </c>
      <c r="I14" s="52">
        <f t="shared" si="0"/>
        <v>131.06</v>
      </c>
      <c r="J14" s="49"/>
      <c r="K14" s="49"/>
    </row>
    <row r="15" spans="1:17" ht="21">
      <c r="A15" s="49"/>
      <c r="B15" s="49" t="s">
        <v>234</v>
      </c>
      <c r="C15" s="51">
        <v>10.88</v>
      </c>
      <c r="D15" s="49"/>
      <c r="E15" s="49" t="s">
        <v>234</v>
      </c>
      <c r="F15" s="51">
        <v>13.58</v>
      </c>
      <c r="G15" s="49"/>
      <c r="H15" s="49" t="s">
        <v>234</v>
      </c>
      <c r="I15" s="52">
        <f t="shared" si="0"/>
        <v>24.46</v>
      </c>
      <c r="J15" s="49"/>
      <c r="K15" s="49"/>
    </row>
    <row r="16" spans="1:17" ht="21">
      <c r="A16" s="49"/>
      <c r="B16" s="49" t="s">
        <v>285</v>
      </c>
      <c r="C16" s="51">
        <v>91</v>
      </c>
      <c r="D16" s="53" t="s">
        <v>286</v>
      </c>
      <c r="E16" s="49" t="s">
        <v>285</v>
      </c>
      <c r="F16" s="51">
        <v>130</v>
      </c>
      <c r="G16" s="53" t="s">
        <v>287</v>
      </c>
      <c r="H16" s="49" t="s">
        <v>285</v>
      </c>
      <c r="I16" s="52">
        <f t="shared" si="0"/>
        <v>221</v>
      </c>
      <c r="J16" s="49"/>
      <c r="K16" s="49"/>
    </row>
    <row r="17" spans="1:11" ht="21">
      <c r="A17" s="49"/>
      <c r="B17" s="49" t="s">
        <v>288</v>
      </c>
      <c r="C17" s="51">
        <v>150</v>
      </c>
      <c r="D17" s="49"/>
      <c r="E17" s="49" t="s">
        <v>288</v>
      </c>
      <c r="F17" s="51">
        <v>174</v>
      </c>
      <c r="G17" s="49"/>
      <c r="H17" s="49" t="s">
        <v>288</v>
      </c>
      <c r="I17" s="52">
        <f t="shared" si="0"/>
        <v>324</v>
      </c>
      <c r="J17" s="49"/>
      <c r="K17" s="49"/>
    </row>
    <row r="18" spans="1:11" ht="21">
      <c r="A18" s="54" t="s">
        <v>289</v>
      </c>
      <c r="B18" s="54"/>
      <c r="C18" s="55">
        <f>C11+C12+C13+C14+C15+C16+C17</f>
        <v>1049.48</v>
      </c>
      <c r="D18" s="54"/>
      <c r="E18" s="54"/>
      <c r="F18" s="56">
        <f>F11+F12+F13+F14+F15+F16+F17</f>
        <v>1312.04</v>
      </c>
      <c r="G18" s="57"/>
      <c r="H18" s="57"/>
      <c r="I18" s="56">
        <f>I11+I12+I13+I14+I15+I16+I17</f>
        <v>2361.52</v>
      </c>
      <c r="J18" s="49"/>
      <c r="K18" s="49"/>
    </row>
    <row r="19" spans="1:11" ht="21">
      <c r="A19" s="58"/>
      <c r="B19" s="58"/>
      <c r="C19" s="59"/>
      <c r="D19" s="58"/>
      <c r="E19" s="58"/>
      <c r="F19" s="58"/>
      <c r="G19" s="58"/>
      <c r="H19" s="58"/>
      <c r="I19" s="58"/>
      <c r="J19" s="49"/>
      <c r="K19" s="49"/>
    </row>
    <row r="20" spans="1:11" ht="21">
      <c r="A20" s="49"/>
      <c r="B20" s="49" t="s">
        <v>272</v>
      </c>
      <c r="C20" s="49"/>
      <c r="D20" s="49"/>
      <c r="E20" s="49" t="s">
        <v>273</v>
      </c>
      <c r="F20" s="49"/>
      <c r="G20" s="49"/>
      <c r="H20" s="50" t="s">
        <v>290</v>
      </c>
      <c r="I20" s="49"/>
      <c r="J20" s="49"/>
      <c r="K20" s="49"/>
    </row>
    <row r="21" spans="1:11" ht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</row>
    <row r="22" spans="1:11" ht="21">
      <c r="A22" s="49"/>
      <c r="B22" s="49" t="s">
        <v>275</v>
      </c>
      <c r="C22" s="51">
        <v>700</v>
      </c>
      <c r="D22" s="49"/>
      <c r="E22" s="49" t="s">
        <v>275</v>
      </c>
      <c r="F22" s="51">
        <v>2181.8200000000002</v>
      </c>
      <c r="G22" s="49"/>
      <c r="H22" s="49" t="s">
        <v>275</v>
      </c>
      <c r="I22" s="52">
        <f t="shared" ref="I22:I31" si="1">C22+F22</f>
        <v>2881.82</v>
      </c>
      <c r="J22" s="49"/>
      <c r="K22" s="49"/>
    </row>
    <row r="23" spans="1:11" ht="21">
      <c r="A23" s="49"/>
      <c r="B23" s="49" t="s">
        <v>277</v>
      </c>
      <c r="C23" s="67">
        <v>52.5</v>
      </c>
      <c r="D23" s="49"/>
      <c r="E23" s="49" t="s">
        <v>278</v>
      </c>
      <c r="F23" s="67">
        <v>173.59</v>
      </c>
      <c r="G23" s="49"/>
      <c r="H23" s="49" t="s">
        <v>279</v>
      </c>
      <c r="I23" s="68">
        <f>C23+F23</f>
        <v>226.09</v>
      </c>
      <c r="J23" s="49"/>
      <c r="K23" s="49"/>
    </row>
    <row r="24" spans="1:11" ht="21">
      <c r="A24" s="49"/>
      <c r="B24" s="49" t="s">
        <v>291</v>
      </c>
      <c r="C24" s="67">
        <v>42</v>
      </c>
      <c r="D24" s="49"/>
      <c r="E24" s="49" t="s">
        <v>280</v>
      </c>
      <c r="F24" s="67">
        <v>130.91</v>
      </c>
      <c r="G24" s="49"/>
      <c r="H24" s="49" t="s">
        <v>280</v>
      </c>
      <c r="I24" s="68">
        <f>C24+F24</f>
        <v>172.91</v>
      </c>
      <c r="J24" s="49"/>
      <c r="K24" s="49"/>
    </row>
    <row r="25" spans="1:11" ht="21">
      <c r="A25" s="49"/>
      <c r="B25" s="49" t="s">
        <v>292</v>
      </c>
      <c r="C25" s="51">
        <f>C22-C23-C24</f>
        <v>605.5</v>
      </c>
      <c r="D25" s="49"/>
      <c r="E25" s="49" t="s">
        <v>292</v>
      </c>
      <c r="F25" s="51">
        <f>F22-F23-F24</f>
        <v>1877.3200000000002</v>
      </c>
      <c r="G25" s="49"/>
      <c r="H25" s="49" t="s">
        <v>281</v>
      </c>
      <c r="I25" s="52">
        <f>I22-I23-I24</f>
        <v>2482.8200000000002</v>
      </c>
      <c r="J25" s="49"/>
      <c r="K25" s="49"/>
    </row>
    <row r="26" spans="1:11" ht="21">
      <c r="A26" s="49"/>
      <c r="B26" s="49" t="s">
        <v>282</v>
      </c>
      <c r="C26" s="51">
        <v>56</v>
      </c>
      <c r="D26" s="49"/>
      <c r="E26" s="49" t="s">
        <v>282</v>
      </c>
      <c r="F26" s="51">
        <v>174.55</v>
      </c>
      <c r="G26" s="49"/>
      <c r="H26" s="49" t="s">
        <v>282</v>
      </c>
      <c r="I26" s="52">
        <f t="shared" si="1"/>
        <v>230.55</v>
      </c>
      <c r="J26" s="49"/>
      <c r="K26" s="49"/>
    </row>
    <row r="27" spans="1:11" ht="21">
      <c r="A27" s="49"/>
      <c r="B27" s="49" t="s">
        <v>283</v>
      </c>
      <c r="C27" s="51">
        <v>77.77</v>
      </c>
      <c r="D27" s="49"/>
      <c r="E27" s="49" t="s">
        <v>283</v>
      </c>
      <c r="F27" s="51">
        <v>242.42</v>
      </c>
      <c r="G27" s="49"/>
      <c r="H27" s="49" t="s">
        <v>283</v>
      </c>
      <c r="I27" s="52">
        <f t="shared" si="1"/>
        <v>320.19</v>
      </c>
      <c r="J27" s="49"/>
      <c r="K27" s="49"/>
    </row>
    <row r="28" spans="1:11" ht="21">
      <c r="A28" s="49"/>
      <c r="B28" s="49" t="s">
        <v>284</v>
      </c>
      <c r="C28" s="51">
        <v>58.33</v>
      </c>
      <c r="D28" s="49"/>
      <c r="E28" s="49" t="s">
        <v>284</v>
      </c>
      <c r="F28" s="51">
        <v>181.82</v>
      </c>
      <c r="G28" s="49"/>
      <c r="H28" s="49" t="s">
        <v>284</v>
      </c>
      <c r="I28" s="52">
        <f t="shared" si="1"/>
        <v>240.14999999999998</v>
      </c>
      <c r="J28" s="49"/>
      <c r="K28" s="49"/>
    </row>
    <row r="29" spans="1:11" ht="21">
      <c r="A29" s="49"/>
      <c r="B29" s="49" t="s">
        <v>234</v>
      </c>
      <c r="C29" s="51">
        <v>10.88</v>
      </c>
      <c r="D29" s="49"/>
      <c r="E29" s="49" t="s">
        <v>234</v>
      </c>
      <c r="F29" s="51">
        <v>33.94</v>
      </c>
      <c r="G29" s="49"/>
      <c r="H29" s="49" t="s">
        <v>234</v>
      </c>
      <c r="I29" s="52">
        <f t="shared" si="1"/>
        <v>44.82</v>
      </c>
      <c r="J29" s="49"/>
      <c r="K29" s="49"/>
    </row>
    <row r="30" spans="1:11" ht="21">
      <c r="A30" s="49"/>
      <c r="B30" s="49" t="s">
        <v>285</v>
      </c>
      <c r="C30" s="51">
        <v>104</v>
      </c>
      <c r="D30" s="53" t="s">
        <v>293</v>
      </c>
      <c r="E30" s="49" t="s">
        <v>285</v>
      </c>
      <c r="F30" s="51">
        <v>260</v>
      </c>
      <c r="G30" s="53" t="s">
        <v>294</v>
      </c>
      <c r="H30" s="49" t="s">
        <v>285</v>
      </c>
      <c r="I30" s="52">
        <f t="shared" si="1"/>
        <v>364</v>
      </c>
      <c r="J30" s="49"/>
      <c r="K30" s="49"/>
    </row>
    <row r="31" spans="1:11" ht="21">
      <c r="A31" s="49"/>
      <c r="B31" s="49" t="s">
        <v>288</v>
      </c>
      <c r="C31" s="51">
        <v>150</v>
      </c>
      <c r="D31" s="49"/>
      <c r="E31" s="49" t="s">
        <v>288</v>
      </c>
      <c r="F31" s="51">
        <v>290</v>
      </c>
      <c r="G31" s="49"/>
      <c r="H31" s="49" t="s">
        <v>288</v>
      </c>
      <c r="I31" s="52">
        <f t="shared" si="1"/>
        <v>440</v>
      </c>
      <c r="J31" s="49"/>
      <c r="K31" s="49"/>
    </row>
    <row r="32" spans="1:11" ht="21">
      <c r="A32" s="54" t="s">
        <v>289</v>
      </c>
      <c r="B32" s="54"/>
      <c r="C32" s="55">
        <f>C25+C26+C27+C28+C29+C30+C31</f>
        <v>1062.48</v>
      </c>
      <c r="D32" s="54"/>
      <c r="E32" s="54"/>
      <c r="F32" s="56">
        <f>F25+F26+F27+F28+F29+F30+F31</f>
        <v>3060.0500000000006</v>
      </c>
      <c r="G32" s="57"/>
      <c r="H32" s="57"/>
      <c r="I32" s="56">
        <f>I25+I26+I27+I28+I29+I30+I31</f>
        <v>4122.5300000000007</v>
      </c>
      <c r="J32" s="49"/>
      <c r="K32" s="49"/>
    </row>
    <row r="33" spans="1:11" ht="21">
      <c r="A33" s="58"/>
      <c r="B33" s="58"/>
      <c r="C33" s="58"/>
      <c r="D33" s="58"/>
      <c r="E33" s="58"/>
      <c r="F33" s="58"/>
      <c r="G33" s="58"/>
      <c r="H33" s="58"/>
      <c r="I33" s="58"/>
      <c r="J33" s="49"/>
      <c r="K33" s="49"/>
    </row>
    <row r="34" spans="1:11" ht="21">
      <c r="A34" s="49"/>
      <c r="B34" s="49" t="s">
        <v>272</v>
      </c>
      <c r="C34" s="49"/>
      <c r="D34" s="49"/>
      <c r="E34" s="49" t="s">
        <v>273</v>
      </c>
      <c r="F34" s="49"/>
      <c r="G34" s="49"/>
      <c r="H34" s="50" t="s">
        <v>295</v>
      </c>
      <c r="I34" s="49"/>
      <c r="J34" s="49"/>
      <c r="K34" s="49"/>
    </row>
    <row r="35" spans="1:11" ht="2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</row>
    <row r="36" spans="1:11" ht="21">
      <c r="A36" s="49"/>
      <c r="B36" s="49" t="s">
        <v>275</v>
      </c>
      <c r="C36" s="51">
        <v>700</v>
      </c>
      <c r="D36" s="49"/>
      <c r="E36" s="49" t="s">
        <v>275</v>
      </c>
      <c r="F36" s="51">
        <v>2181.8200000000002</v>
      </c>
      <c r="G36" s="49"/>
      <c r="H36" s="49" t="s">
        <v>275</v>
      </c>
      <c r="I36" s="52">
        <f t="shared" ref="I36:I45" si="2">C36+F36</f>
        <v>2881.82</v>
      </c>
      <c r="J36" s="49"/>
      <c r="K36" s="49"/>
    </row>
    <row r="37" spans="1:11" ht="21">
      <c r="A37" s="49"/>
      <c r="B37" s="49" t="s">
        <v>277</v>
      </c>
      <c r="C37" s="67">
        <v>52.5</v>
      </c>
      <c r="D37" s="49"/>
      <c r="E37" s="49" t="s">
        <v>278</v>
      </c>
      <c r="F37" s="67">
        <v>173.59</v>
      </c>
      <c r="G37" s="49"/>
      <c r="H37" s="49" t="s">
        <v>279</v>
      </c>
      <c r="I37" s="68">
        <f>C37+F37</f>
        <v>226.09</v>
      </c>
      <c r="J37" s="49"/>
      <c r="K37" s="49"/>
    </row>
    <row r="38" spans="1:11" ht="21">
      <c r="A38" s="49"/>
      <c r="B38" s="49" t="s">
        <v>291</v>
      </c>
      <c r="C38" s="67">
        <v>42</v>
      </c>
      <c r="D38" s="49"/>
      <c r="E38" s="49" t="s">
        <v>280</v>
      </c>
      <c r="F38" s="67">
        <v>130.91</v>
      </c>
      <c r="G38" s="49"/>
      <c r="H38" s="49" t="s">
        <v>280</v>
      </c>
      <c r="I38" s="68">
        <f>C38+F38</f>
        <v>172.91</v>
      </c>
      <c r="J38" s="49"/>
      <c r="K38" s="49"/>
    </row>
    <row r="39" spans="1:11" ht="21">
      <c r="A39" s="49"/>
      <c r="B39" s="49" t="s">
        <v>292</v>
      </c>
      <c r="C39" s="51">
        <f>C36-C37-C38</f>
        <v>605.5</v>
      </c>
      <c r="D39" s="49"/>
      <c r="E39" s="49" t="s">
        <v>292</v>
      </c>
      <c r="F39" s="51">
        <f>F36-F37-F38</f>
        <v>1877.3200000000002</v>
      </c>
      <c r="G39" s="49"/>
      <c r="H39" s="49" t="s">
        <v>281</v>
      </c>
      <c r="I39" s="52">
        <f>I36-I37-I38</f>
        <v>2482.8200000000002</v>
      </c>
      <c r="J39" s="49"/>
      <c r="K39" s="49"/>
    </row>
    <row r="40" spans="1:11" ht="21">
      <c r="A40" s="49"/>
      <c r="B40" s="49" t="s">
        <v>282</v>
      </c>
      <c r="C40" s="51">
        <v>56</v>
      </c>
      <c r="D40" s="49"/>
      <c r="E40" s="49" t="s">
        <v>282</v>
      </c>
      <c r="F40" s="51">
        <v>174.55</v>
      </c>
      <c r="G40" s="49"/>
      <c r="H40" s="49" t="s">
        <v>282</v>
      </c>
      <c r="I40" s="52">
        <f t="shared" si="2"/>
        <v>230.55</v>
      </c>
      <c r="J40" s="49"/>
      <c r="K40" s="49"/>
    </row>
    <row r="41" spans="1:11" ht="21">
      <c r="A41" s="49"/>
      <c r="B41" s="49" t="s">
        <v>283</v>
      </c>
      <c r="C41" s="51">
        <v>77.77</v>
      </c>
      <c r="D41" s="49"/>
      <c r="E41" s="49" t="s">
        <v>283</v>
      </c>
      <c r="F41" s="51">
        <v>242.42</v>
      </c>
      <c r="G41" s="49"/>
      <c r="H41" s="49" t="s">
        <v>283</v>
      </c>
      <c r="I41" s="52">
        <f t="shared" si="2"/>
        <v>320.19</v>
      </c>
      <c r="J41" s="49"/>
      <c r="K41" s="49"/>
    </row>
    <row r="42" spans="1:11" ht="21">
      <c r="A42" s="49"/>
      <c r="B42" s="49" t="s">
        <v>284</v>
      </c>
      <c r="C42" s="51">
        <v>58.33</v>
      </c>
      <c r="D42" s="49"/>
      <c r="E42" s="49" t="s">
        <v>284</v>
      </c>
      <c r="F42" s="51">
        <v>181.82</v>
      </c>
      <c r="G42" s="49"/>
      <c r="H42" s="49" t="s">
        <v>284</v>
      </c>
      <c r="I42" s="52">
        <f t="shared" si="2"/>
        <v>240.14999999999998</v>
      </c>
      <c r="J42" s="49"/>
      <c r="K42" s="49"/>
    </row>
    <row r="43" spans="1:11" ht="21">
      <c r="A43" s="49"/>
      <c r="B43" s="49" t="s">
        <v>234</v>
      </c>
      <c r="C43" s="51">
        <v>10.88</v>
      </c>
      <c r="D43" s="49"/>
      <c r="E43" s="49" t="s">
        <v>234</v>
      </c>
      <c r="F43" s="51">
        <v>33.94</v>
      </c>
      <c r="G43" s="49"/>
      <c r="H43" s="49" t="s">
        <v>234</v>
      </c>
      <c r="I43" s="52">
        <f t="shared" si="2"/>
        <v>44.82</v>
      </c>
      <c r="J43" s="49"/>
      <c r="K43" s="49"/>
    </row>
    <row r="44" spans="1:11" ht="21">
      <c r="A44" s="49"/>
      <c r="B44" s="49" t="s">
        <v>285</v>
      </c>
      <c r="C44" s="51">
        <v>91</v>
      </c>
      <c r="D44" s="53" t="s">
        <v>286</v>
      </c>
      <c r="E44" s="49" t="s">
        <v>285</v>
      </c>
      <c r="F44" s="51">
        <v>234</v>
      </c>
      <c r="G44" s="53" t="s">
        <v>296</v>
      </c>
      <c r="H44" s="49" t="s">
        <v>285</v>
      </c>
      <c r="I44" s="52">
        <f t="shared" si="2"/>
        <v>325</v>
      </c>
      <c r="J44" s="49"/>
      <c r="K44" s="49"/>
    </row>
    <row r="45" spans="1:11" ht="21">
      <c r="A45" s="49"/>
      <c r="B45" s="49" t="s">
        <v>288</v>
      </c>
      <c r="C45" s="51">
        <v>150</v>
      </c>
      <c r="D45" s="49"/>
      <c r="E45" s="49" t="s">
        <v>288</v>
      </c>
      <c r="F45" s="51">
        <v>290</v>
      </c>
      <c r="G45" s="49"/>
      <c r="H45" s="49" t="s">
        <v>288</v>
      </c>
      <c r="I45" s="52">
        <f t="shared" si="2"/>
        <v>440</v>
      </c>
      <c r="J45" s="49"/>
      <c r="K45" s="49"/>
    </row>
    <row r="46" spans="1:11" ht="21">
      <c r="A46" s="54" t="s">
        <v>289</v>
      </c>
      <c r="B46" s="54"/>
      <c r="C46" s="55">
        <f>C39+C40+C41+C42+C43+C44+C45</f>
        <v>1049.48</v>
      </c>
      <c r="D46" s="54"/>
      <c r="E46" s="54"/>
      <c r="F46" s="56">
        <f>F39+F40+F41+F42+F43+F44+F45</f>
        <v>3034.0500000000006</v>
      </c>
      <c r="G46" s="57"/>
      <c r="H46" s="57"/>
      <c r="I46" s="56">
        <f>I39+I40+I41+I42+I43+I44+I45</f>
        <v>4083.5300000000007</v>
      </c>
      <c r="J46" s="49"/>
      <c r="K46" s="49"/>
    </row>
    <row r="47" spans="1:11" ht="21">
      <c r="A47" s="58"/>
      <c r="B47" s="58"/>
      <c r="C47" s="58"/>
      <c r="D47" s="58"/>
      <c r="E47" s="58"/>
      <c r="F47" s="58"/>
      <c r="G47" s="58"/>
      <c r="H47" s="58"/>
      <c r="I47" s="58"/>
      <c r="J47" s="49"/>
      <c r="K47" s="49"/>
    </row>
    <row r="48" spans="1:11" ht="21">
      <c r="A48" s="63" t="s">
        <v>297</v>
      </c>
      <c r="B48" s="64"/>
      <c r="C48" s="65">
        <f>C18+C46+C32</f>
        <v>3161.44</v>
      </c>
      <c r="D48" s="63"/>
      <c r="E48" s="63"/>
      <c r="F48" s="65">
        <f>F18+F32+F46</f>
        <v>7406.1400000000012</v>
      </c>
      <c r="G48" s="63"/>
      <c r="H48" s="63"/>
      <c r="I48" s="65">
        <f>I18+I32+I46</f>
        <v>10567.580000000002</v>
      </c>
      <c r="J48" s="49"/>
      <c r="K48" s="49"/>
    </row>
    <row r="49" spans="1:11" ht="21">
      <c r="A49" s="60"/>
      <c r="B49" s="61"/>
      <c r="C49" s="62"/>
      <c r="D49" s="60"/>
      <c r="E49" s="60"/>
      <c r="F49" s="62"/>
      <c r="G49" s="60"/>
      <c r="H49" s="60"/>
      <c r="I49" s="62"/>
      <c r="J49" s="49"/>
      <c r="K49" s="49"/>
    </row>
    <row r="50" spans="1:11" ht="24.6">
      <c r="A50" s="101" t="s">
        <v>298</v>
      </c>
      <c r="B50" s="101"/>
      <c r="C50" s="62"/>
      <c r="D50" s="60"/>
      <c r="E50" s="60"/>
      <c r="F50" s="62"/>
      <c r="G50" s="60"/>
      <c r="H50" s="60"/>
      <c r="I50" s="62"/>
      <c r="J50" s="49"/>
      <c r="K50" s="49"/>
    </row>
    <row r="51" spans="1:11" ht="2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</row>
    <row r="52" spans="1:11" ht="21">
      <c r="A52" s="49"/>
      <c r="B52" s="49" t="s">
        <v>272</v>
      </c>
      <c r="C52" s="49"/>
      <c r="D52" s="49"/>
      <c r="E52" s="49" t="s">
        <v>273</v>
      </c>
      <c r="F52" s="49"/>
      <c r="G52" s="49"/>
      <c r="H52" s="50" t="s">
        <v>299</v>
      </c>
      <c r="I52" s="49"/>
      <c r="J52" s="49"/>
      <c r="K52" s="49"/>
    </row>
    <row r="53" spans="1:11" ht="2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</row>
    <row r="54" spans="1:11" ht="21">
      <c r="A54" s="49"/>
      <c r="B54" s="49" t="s">
        <v>275</v>
      </c>
      <c r="C54" s="51">
        <v>700</v>
      </c>
      <c r="D54" s="49"/>
      <c r="E54" s="49" t="s">
        <v>275</v>
      </c>
      <c r="F54" s="51">
        <v>2181.8200000000002</v>
      </c>
      <c r="G54" s="49"/>
      <c r="H54" s="49" t="s">
        <v>275</v>
      </c>
      <c r="I54" s="52">
        <f t="shared" ref="I54:I63" si="3">C54+F54</f>
        <v>2881.82</v>
      </c>
      <c r="J54" s="49"/>
      <c r="K54" s="49"/>
    </row>
    <row r="55" spans="1:11" ht="21">
      <c r="A55" s="49"/>
      <c r="B55" s="49" t="s">
        <v>277</v>
      </c>
      <c r="C55" s="67">
        <v>52.5</v>
      </c>
      <c r="D55" s="49"/>
      <c r="E55" s="49" t="s">
        <v>278</v>
      </c>
      <c r="F55" s="67">
        <v>173.59</v>
      </c>
      <c r="G55" s="49"/>
      <c r="H55" s="49" t="s">
        <v>279</v>
      </c>
      <c r="I55" s="68">
        <f>C55+F55</f>
        <v>226.09</v>
      </c>
      <c r="J55" s="49"/>
      <c r="K55" s="49"/>
    </row>
    <row r="56" spans="1:11" ht="21">
      <c r="A56" s="49"/>
      <c r="B56" s="49" t="s">
        <v>291</v>
      </c>
      <c r="C56" s="67">
        <v>42</v>
      </c>
      <c r="D56" s="49"/>
      <c r="E56" s="49" t="s">
        <v>280</v>
      </c>
      <c r="F56" s="67">
        <v>130.91</v>
      </c>
      <c r="G56" s="49"/>
      <c r="H56" s="49" t="s">
        <v>280</v>
      </c>
      <c r="I56" s="68">
        <f>C56+F56</f>
        <v>172.91</v>
      </c>
      <c r="J56" s="49"/>
      <c r="K56" s="49"/>
    </row>
    <row r="57" spans="1:11" ht="21">
      <c r="A57" s="49"/>
      <c r="B57" s="49" t="s">
        <v>292</v>
      </c>
      <c r="C57" s="51">
        <f>C54-C55-C56</f>
        <v>605.5</v>
      </c>
      <c r="D57" s="49"/>
      <c r="E57" s="49" t="s">
        <v>292</v>
      </c>
      <c r="F57" s="51">
        <f>F54-F55-F56</f>
        <v>1877.3200000000002</v>
      </c>
      <c r="G57" s="49"/>
      <c r="H57" s="49" t="s">
        <v>281</v>
      </c>
      <c r="I57" s="52">
        <f>I54-I55-I56</f>
        <v>2482.8200000000002</v>
      </c>
      <c r="J57" s="49"/>
      <c r="K57" s="49"/>
    </row>
    <row r="58" spans="1:11" ht="21">
      <c r="A58" s="49"/>
      <c r="B58" s="49" t="s">
        <v>282</v>
      </c>
      <c r="C58" s="51">
        <v>56</v>
      </c>
      <c r="D58" s="49"/>
      <c r="E58" s="49" t="s">
        <v>282</v>
      </c>
      <c r="F58" s="51">
        <v>174.55</v>
      </c>
      <c r="G58" s="49"/>
      <c r="H58" s="49" t="s">
        <v>282</v>
      </c>
      <c r="I58" s="52">
        <f t="shared" si="3"/>
        <v>230.55</v>
      </c>
      <c r="J58" s="49"/>
      <c r="K58" s="49"/>
    </row>
    <row r="59" spans="1:11" ht="21">
      <c r="A59" s="49"/>
      <c r="B59" s="49" t="s">
        <v>283</v>
      </c>
      <c r="C59" s="51">
        <v>77.77</v>
      </c>
      <c r="D59" s="49"/>
      <c r="E59" s="49" t="s">
        <v>283</v>
      </c>
      <c r="F59" s="51">
        <v>242.42</v>
      </c>
      <c r="G59" s="49"/>
      <c r="H59" s="49" t="s">
        <v>283</v>
      </c>
      <c r="I59" s="52">
        <f t="shared" si="3"/>
        <v>320.19</v>
      </c>
      <c r="J59" s="49"/>
      <c r="K59" s="49"/>
    </row>
    <row r="60" spans="1:11" ht="21">
      <c r="A60" s="49"/>
      <c r="B60" s="49" t="s">
        <v>284</v>
      </c>
      <c r="C60" s="51">
        <v>58.33</v>
      </c>
      <c r="D60" s="49"/>
      <c r="E60" s="49" t="s">
        <v>284</v>
      </c>
      <c r="F60" s="51">
        <v>181.82</v>
      </c>
      <c r="G60" s="49"/>
      <c r="H60" s="49" t="s">
        <v>284</v>
      </c>
      <c r="I60" s="52">
        <f t="shared" si="3"/>
        <v>240.14999999999998</v>
      </c>
      <c r="J60" s="49"/>
      <c r="K60" s="49"/>
    </row>
    <row r="61" spans="1:11" ht="21">
      <c r="A61" s="49"/>
      <c r="B61" s="49" t="s">
        <v>234</v>
      </c>
      <c r="C61" s="51">
        <v>10.88</v>
      </c>
      <c r="D61" s="49"/>
      <c r="E61" s="49" t="s">
        <v>234</v>
      </c>
      <c r="F61" s="51">
        <v>33.94</v>
      </c>
      <c r="G61" s="49"/>
      <c r="H61" s="49" t="s">
        <v>234</v>
      </c>
      <c r="I61" s="52">
        <f t="shared" si="3"/>
        <v>44.82</v>
      </c>
      <c r="J61" s="49"/>
      <c r="K61" s="49"/>
    </row>
    <row r="62" spans="1:11" ht="21">
      <c r="A62" s="49"/>
      <c r="B62" s="49" t="s">
        <v>285</v>
      </c>
      <c r="C62" s="51">
        <v>117</v>
      </c>
      <c r="D62" s="53" t="s">
        <v>300</v>
      </c>
      <c r="E62" s="49" t="s">
        <v>285</v>
      </c>
      <c r="F62" s="51">
        <v>260</v>
      </c>
      <c r="G62" s="53" t="s">
        <v>294</v>
      </c>
      <c r="H62" s="49" t="s">
        <v>285</v>
      </c>
      <c r="I62" s="52">
        <f t="shared" si="3"/>
        <v>377</v>
      </c>
      <c r="J62" s="49"/>
      <c r="K62" s="49"/>
    </row>
    <row r="63" spans="1:11" ht="21">
      <c r="A63" s="49"/>
      <c r="B63" s="49" t="s">
        <v>288</v>
      </c>
      <c r="C63" s="51">
        <v>150</v>
      </c>
      <c r="D63" s="49"/>
      <c r="E63" s="49" t="s">
        <v>288</v>
      </c>
      <c r="F63" s="51">
        <v>290</v>
      </c>
      <c r="G63" s="49"/>
      <c r="H63" s="49" t="s">
        <v>288</v>
      </c>
      <c r="I63" s="52">
        <f t="shared" si="3"/>
        <v>440</v>
      </c>
      <c r="J63" s="49"/>
      <c r="K63" s="49"/>
    </row>
    <row r="64" spans="1:11" ht="21">
      <c r="A64" s="54" t="s">
        <v>289</v>
      </c>
      <c r="B64" s="54"/>
      <c r="C64" s="55">
        <f>C57+C58+C59+C60+C61+C62+C63</f>
        <v>1075.48</v>
      </c>
      <c r="D64" s="54"/>
      <c r="E64" s="54"/>
      <c r="F64" s="56">
        <f>F57+F58+F59+F60+F61+F62+F63</f>
        <v>3060.0500000000006</v>
      </c>
      <c r="G64" s="57"/>
      <c r="H64" s="57"/>
      <c r="I64" s="56">
        <f>I57+I58+I59+I60+I61+I62+I63</f>
        <v>4135.5300000000007</v>
      </c>
      <c r="J64" s="49"/>
      <c r="K64" s="49"/>
    </row>
    <row r="65" spans="1:11" ht="21">
      <c r="A65" s="58"/>
      <c r="B65" s="58"/>
      <c r="C65" s="59"/>
      <c r="D65" s="58"/>
      <c r="E65" s="58"/>
      <c r="F65" s="58"/>
      <c r="G65" s="58"/>
      <c r="H65" s="58"/>
      <c r="I65" s="58"/>
      <c r="J65" s="49"/>
      <c r="K65" s="49"/>
    </row>
    <row r="66" spans="1:11" ht="21">
      <c r="A66" s="49"/>
      <c r="B66" s="49" t="s">
        <v>272</v>
      </c>
      <c r="C66" s="49"/>
      <c r="D66" s="49"/>
      <c r="E66" s="49" t="s">
        <v>273</v>
      </c>
      <c r="F66" s="49"/>
      <c r="G66" s="49"/>
      <c r="H66" s="50" t="s">
        <v>301</v>
      </c>
      <c r="I66" s="49"/>
      <c r="J66" s="49"/>
      <c r="K66" s="49"/>
    </row>
    <row r="67" spans="1:11" ht="2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</row>
    <row r="68" spans="1:11" ht="21">
      <c r="A68" s="49"/>
      <c r="B68" s="49" t="s">
        <v>275</v>
      </c>
      <c r="C68" s="51">
        <v>700</v>
      </c>
      <c r="D68" s="49"/>
      <c r="E68" s="49" t="s">
        <v>275</v>
      </c>
      <c r="F68" s="51">
        <v>2181.8200000000002</v>
      </c>
      <c r="G68" s="49"/>
      <c r="H68" s="49" t="s">
        <v>275</v>
      </c>
      <c r="I68" s="52">
        <f t="shared" ref="I68:I77" si="4">C68+F68</f>
        <v>2881.82</v>
      </c>
      <c r="J68" s="49"/>
      <c r="K68" s="49"/>
    </row>
    <row r="69" spans="1:11" ht="21">
      <c r="A69" s="49"/>
      <c r="B69" s="49" t="s">
        <v>277</v>
      </c>
      <c r="C69" s="67">
        <v>52.5</v>
      </c>
      <c r="D69" s="49"/>
      <c r="E69" s="49" t="s">
        <v>278</v>
      </c>
      <c r="F69" s="67">
        <v>173.59</v>
      </c>
      <c r="G69" s="49"/>
      <c r="H69" s="49" t="s">
        <v>279</v>
      </c>
      <c r="I69" s="68">
        <f>C69+F69</f>
        <v>226.09</v>
      </c>
      <c r="J69" s="49"/>
      <c r="K69" s="49"/>
    </row>
    <row r="70" spans="1:11" ht="21">
      <c r="A70" s="49"/>
      <c r="B70" s="49" t="s">
        <v>291</v>
      </c>
      <c r="C70" s="67">
        <v>42</v>
      </c>
      <c r="D70" s="49"/>
      <c r="E70" s="49" t="s">
        <v>280</v>
      </c>
      <c r="F70" s="67">
        <v>130.91</v>
      </c>
      <c r="G70" s="49"/>
      <c r="H70" s="49" t="s">
        <v>280</v>
      </c>
      <c r="I70" s="68">
        <f>C70+F70</f>
        <v>172.91</v>
      </c>
      <c r="J70" s="49"/>
      <c r="K70" s="49"/>
    </row>
    <row r="71" spans="1:11" ht="21">
      <c r="A71" s="49"/>
      <c r="B71" s="49" t="s">
        <v>292</v>
      </c>
      <c r="C71" s="51">
        <f>C68-C69-C70</f>
        <v>605.5</v>
      </c>
      <c r="D71" s="49"/>
      <c r="E71" s="49" t="s">
        <v>292</v>
      </c>
      <c r="F71" s="51">
        <f>F68-F69-F70</f>
        <v>1877.3200000000002</v>
      </c>
      <c r="G71" s="49"/>
      <c r="H71" s="49" t="s">
        <v>281</v>
      </c>
      <c r="I71" s="52">
        <f>I68-I69-I70</f>
        <v>2482.8200000000002</v>
      </c>
      <c r="J71" s="49"/>
      <c r="K71" s="49"/>
    </row>
    <row r="72" spans="1:11" ht="21">
      <c r="A72" s="49"/>
      <c r="B72" s="49" t="s">
        <v>282</v>
      </c>
      <c r="C72" s="51">
        <v>56</v>
      </c>
      <c r="D72" s="49"/>
      <c r="E72" s="49" t="s">
        <v>282</v>
      </c>
      <c r="F72" s="51">
        <v>174.55</v>
      </c>
      <c r="G72" s="49"/>
      <c r="H72" s="49" t="s">
        <v>282</v>
      </c>
      <c r="I72" s="52">
        <f t="shared" si="4"/>
        <v>230.55</v>
      </c>
      <c r="J72" s="49"/>
      <c r="K72" s="49"/>
    </row>
    <row r="73" spans="1:11" ht="21">
      <c r="A73" s="49"/>
      <c r="B73" s="49" t="s">
        <v>283</v>
      </c>
      <c r="C73" s="51">
        <v>77.77</v>
      </c>
      <c r="D73" s="49"/>
      <c r="E73" s="49" t="s">
        <v>283</v>
      </c>
      <c r="F73" s="51">
        <v>242.42</v>
      </c>
      <c r="G73" s="49"/>
      <c r="H73" s="49" t="s">
        <v>283</v>
      </c>
      <c r="I73" s="52">
        <f t="shared" si="4"/>
        <v>320.19</v>
      </c>
      <c r="J73" s="49"/>
      <c r="K73" s="49"/>
    </row>
    <row r="74" spans="1:11" ht="21">
      <c r="A74" s="49"/>
      <c r="B74" s="49" t="s">
        <v>284</v>
      </c>
      <c r="C74" s="51">
        <v>58.33</v>
      </c>
      <c r="D74" s="49"/>
      <c r="E74" s="49" t="s">
        <v>284</v>
      </c>
      <c r="F74" s="51">
        <v>181.82</v>
      </c>
      <c r="G74" s="49"/>
      <c r="H74" s="49" t="s">
        <v>284</v>
      </c>
      <c r="I74" s="52">
        <f t="shared" si="4"/>
        <v>240.14999999999998</v>
      </c>
      <c r="J74" s="49"/>
      <c r="K74" s="49"/>
    </row>
    <row r="75" spans="1:11" ht="21">
      <c r="A75" s="49"/>
      <c r="B75" s="49" t="s">
        <v>234</v>
      </c>
      <c r="C75" s="51">
        <v>10.88</v>
      </c>
      <c r="D75" s="49"/>
      <c r="E75" s="49" t="s">
        <v>234</v>
      </c>
      <c r="F75" s="51">
        <v>33.94</v>
      </c>
      <c r="G75" s="49"/>
      <c r="H75" s="49" t="s">
        <v>234</v>
      </c>
      <c r="I75" s="52">
        <f t="shared" si="4"/>
        <v>44.82</v>
      </c>
      <c r="J75" s="49"/>
      <c r="K75" s="49"/>
    </row>
    <row r="76" spans="1:11" ht="21">
      <c r="A76" s="49"/>
      <c r="B76" s="49" t="s">
        <v>285</v>
      </c>
      <c r="C76" s="51">
        <v>104</v>
      </c>
      <c r="D76" s="53" t="s">
        <v>293</v>
      </c>
      <c r="E76" s="49" t="s">
        <v>285</v>
      </c>
      <c r="F76" s="51">
        <v>260</v>
      </c>
      <c r="G76" s="53" t="s">
        <v>294</v>
      </c>
      <c r="H76" s="49" t="s">
        <v>285</v>
      </c>
      <c r="I76" s="52">
        <f t="shared" si="4"/>
        <v>364</v>
      </c>
      <c r="J76" s="49"/>
      <c r="K76" s="49"/>
    </row>
    <row r="77" spans="1:11" ht="21">
      <c r="A77" s="49"/>
      <c r="B77" s="49" t="s">
        <v>288</v>
      </c>
      <c r="C77" s="51">
        <v>150</v>
      </c>
      <c r="D77" s="49"/>
      <c r="E77" s="49" t="s">
        <v>288</v>
      </c>
      <c r="F77" s="51">
        <v>290</v>
      </c>
      <c r="G77" s="49"/>
      <c r="H77" s="49" t="s">
        <v>288</v>
      </c>
      <c r="I77" s="52">
        <f t="shared" si="4"/>
        <v>440</v>
      </c>
      <c r="J77" s="49"/>
      <c r="K77" s="49"/>
    </row>
    <row r="78" spans="1:11" ht="21">
      <c r="A78" s="54" t="s">
        <v>289</v>
      </c>
      <c r="B78" s="54"/>
      <c r="C78" s="55">
        <f>C71+C72+C73+C74+C75+C76+C77</f>
        <v>1062.48</v>
      </c>
      <c r="D78" s="54"/>
      <c r="E78" s="54"/>
      <c r="F78" s="56">
        <f>F71+F72+F73+F74+F75+F76+F77</f>
        <v>3060.0500000000006</v>
      </c>
      <c r="G78" s="57"/>
      <c r="H78" s="57"/>
      <c r="I78" s="56">
        <f>I71+I72+I73+I74+I75+I76+I77</f>
        <v>4122.5300000000007</v>
      </c>
      <c r="J78" s="49"/>
      <c r="K78" s="49"/>
    </row>
    <row r="79" spans="1:11" ht="21">
      <c r="A79" s="58"/>
      <c r="B79" s="58"/>
      <c r="C79" s="58"/>
      <c r="D79" s="58"/>
      <c r="E79" s="58"/>
      <c r="F79" s="58"/>
      <c r="G79" s="58"/>
      <c r="H79" s="58"/>
      <c r="I79" s="58"/>
      <c r="J79" s="49"/>
      <c r="K79" s="49"/>
    </row>
    <row r="80" spans="1:11" ht="21">
      <c r="A80" s="49"/>
      <c r="B80" s="49" t="s">
        <v>272</v>
      </c>
      <c r="C80" s="49"/>
      <c r="D80" s="49"/>
      <c r="E80" s="49" t="s">
        <v>273</v>
      </c>
      <c r="F80" s="49"/>
      <c r="G80" s="49"/>
      <c r="H80" s="50" t="s">
        <v>302</v>
      </c>
      <c r="I80" s="49"/>
      <c r="J80" s="49"/>
      <c r="K80" s="49"/>
    </row>
    <row r="81" spans="1:11" ht="2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</row>
    <row r="82" spans="1:11" ht="21">
      <c r="A82" s="49"/>
      <c r="B82" s="49" t="s">
        <v>275</v>
      </c>
      <c r="C82" s="51">
        <v>700</v>
      </c>
      <c r="D82" s="49"/>
      <c r="E82" s="49" t="s">
        <v>275</v>
      </c>
      <c r="F82" s="51">
        <v>2181.8200000000002</v>
      </c>
      <c r="G82" s="49"/>
      <c r="H82" s="49" t="s">
        <v>275</v>
      </c>
      <c r="I82" s="52">
        <f t="shared" ref="I82:I91" si="5">C82+F82</f>
        <v>2881.82</v>
      </c>
      <c r="J82" s="49"/>
      <c r="K82" s="49"/>
    </row>
    <row r="83" spans="1:11" ht="21">
      <c r="A83" s="49"/>
      <c r="B83" s="49" t="s">
        <v>277</v>
      </c>
      <c r="C83" s="67">
        <v>52.5</v>
      </c>
      <c r="D83" s="49"/>
      <c r="E83" s="49" t="s">
        <v>278</v>
      </c>
      <c r="F83" s="67">
        <v>173.59</v>
      </c>
      <c r="G83" s="49"/>
      <c r="H83" s="49" t="s">
        <v>279</v>
      </c>
      <c r="I83" s="68">
        <f>C83+F83</f>
        <v>226.09</v>
      </c>
      <c r="J83" s="49"/>
      <c r="K83" s="49"/>
    </row>
    <row r="84" spans="1:11" ht="21">
      <c r="A84" s="49"/>
      <c r="B84" s="49" t="s">
        <v>291</v>
      </c>
      <c r="C84" s="67">
        <v>42</v>
      </c>
      <c r="D84" s="49"/>
      <c r="E84" s="49" t="s">
        <v>280</v>
      </c>
      <c r="F84" s="67">
        <v>130.91</v>
      </c>
      <c r="G84" s="49"/>
      <c r="H84" s="49" t="s">
        <v>280</v>
      </c>
      <c r="I84" s="68">
        <f>C84+F84</f>
        <v>172.91</v>
      </c>
      <c r="J84" s="49"/>
      <c r="K84" s="49"/>
    </row>
    <row r="85" spans="1:11" ht="21">
      <c r="A85" s="49"/>
      <c r="B85" s="49" t="s">
        <v>292</v>
      </c>
      <c r="C85" s="51">
        <f>C82-C83-C84</f>
        <v>605.5</v>
      </c>
      <c r="D85" s="49"/>
      <c r="E85" s="49" t="s">
        <v>292</v>
      </c>
      <c r="F85" s="51">
        <f>F82-F83-F84</f>
        <v>1877.3200000000002</v>
      </c>
      <c r="G85" s="49"/>
      <c r="H85" s="49" t="s">
        <v>281</v>
      </c>
      <c r="I85" s="52">
        <f>I82-I83-I84</f>
        <v>2482.8200000000002</v>
      </c>
      <c r="J85" s="49"/>
      <c r="K85" s="49"/>
    </row>
    <row r="86" spans="1:11" ht="21">
      <c r="A86" s="49"/>
      <c r="B86" s="49" t="s">
        <v>282</v>
      </c>
      <c r="C86" s="51">
        <v>56</v>
      </c>
      <c r="D86" s="49"/>
      <c r="E86" s="49" t="s">
        <v>282</v>
      </c>
      <c r="F86" s="51">
        <v>174.55</v>
      </c>
      <c r="G86" s="49"/>
      <c r="H86" s="49" t="s">
        <v>282</v>
      </c>
      <c r="I86" s="52">
        <f t="shared" si="5"/>
        <v>230.55</v>
      </c>
      <c r="J86" s="49"/>
      <c r="K86" s="49"/>
    </row>
    <row r="87" spans="1:11" ht="21">
      <c r="A87" s="49"/>
      <c r="B87" s="49" t="s">
        <v>283</v>
      </c>
      <c r="C87" s="51">
        <v>77.77</v>
      </c>
      <c r="D87" s="49"/>
      <c r="E87" s="49" t="s">
        <v>283</v>
      </c>
      <c r="F87" s="51">
        <v>242.42</v>
      </c>
      <c r="G87" s="49"/>
      <c r="H87" s="49" t="s">
        <v>283</v>
      </c>
      <c r="I87" s="52">
        <f t="shared" si="5"/>
        <v>320.19</v>
      </c>
      <c r="J87" s="49"/>
      <c r="K87" s="49"/>
    </row>
    <row r="88" spans="1:11" ht="21">
      <c r="A88" s="49"/>
      <c r="B88" s="49" t="s">
        <v>284</v>
      </c>
      <c r="C88" s="51">
        <v>58.33</v>
      </c>
      <c r="D88" s="49"/>
      <c r="E88" s="49" t="s">
        <v>284</v>
      </c>
      <c r="F88" s="51">
        <v>181.82</v>
      </c>
      <c r="G88" s="49"/>
      <c r="H88" s="49" t="s">
        <v>284</v>
      </c>
      <c r="I88" s="52">
        <f t="shared" si="5"/>
        <v>240.14999999999998</v>
      </c>
      <c r="J88" s="49"/>
      <c r="K88" s="49"/>
    </row>
    <row r="89" spans="1:11" ht="21">
      <c r="A89" s="49"/>
      <c r="B89" s="49" t="s">
        <v>234</v>
      </c>
      <c r="C89" s="51">
        <v>10.88</v>
      </c>
      <c r="D89" s="49"/>
      <c r="E89" s="49" t="s">
        <v>234</v>
      </c>
      <c r="F89" s="51">
        <v>33.94</v>
      </c>
      <c r="G89" s="49"/>
      <c r="H89" s="49" t="s">
        <v>234</v>
      </c>
      <c r="I89" s="52">
        <f t="shared" si="5"/>
        <v>44.82</v>
      </c>
      <c r="J89" s="49"/>
      <c r="K89" s="49"/>
    </row>
    <row r="90" spans="1:11" ht="21">
      <c r="A90" s="49"/>
      <c r="B90" s="49" t="s">
        <v>285</v>
      </c>
      <c r="C90" s="51">
        <v>91</v>
      </c>
      <c r="D90" s="53" t="s">
        <v>286</v>
      </c>
      <c r="E90" s="49" t="s">
        <v>285</v>
      </c>
      <c r="F90" s="51">
        <v>247</v>
      </c>
      <c r="G90" s="53" t="s">
        <v>303</v>
      </c>
      <c r="H90" s="49" t="s">
        <v>285</v>
      </c>
      <c r="I90" s="52">
        <f t="shared" si="5"/>
        <v>338</v>
      </c>
      <c r="J90" s="49"/>
      <c r="K90" s="49"/>
    </row>
    <row r="91" spans="1:11" ht="21">
      <c r="A91" s="49"/>
      <c r="B91" s="49" t="s">
        <v>288</v>
      </c>
      <c r="C91" s="51">
        <v>150</v>
      </c>
      <c r="D91" s="49"/>
      <c r="E91" s="49" t="s">
        <v>288</v>
      </c>
      <c r="F91" s="51">
        <v>290</v>
      </c>
      <c r="G91" s="49"/>
      <c r="H91" s="49" t="s">
        <v>288</v>
      </c>
      <c r="I91" s="52">
        <f t="shared" si="5"/>
        <v>440</v>
      </c>
      <c r="J91" s="49"/>
      <c r="K91" s="49"/>
    </row>
    <row r="92" spans="1:11" ht="21">
      <c r="A92" s="54" t="s">
        <v>289</v>
      </c>
      <c r="B92" s="54"/>
      <c r="C92" s="55">
        <f>C85+C86+C87+C88+C89+C90+C91</f>
        <v>1049.48</v>
      </c>
      <c r="D92" s="54"/>
      <c r="E92" s="54"/>
      <c r="F92" s="56">
        <f>F85+F86+F87+F88+F89+F90+F91</f>
        <v>3047.0500000000006</v>
      </c>
      <c r="G92" s="57"/>
      <c r="H92" s="57"/>
      <c r="I92" s="56">
        <f>I85+I86+I87+I88+I89+I90+I91</f>
        <v>4096.5300000000007</v>
      </c>
      <c r="J92" s="49"/>
      <c r="K92" s="49"/>
    </row>
    <row r="93" spans="1:11" ht="21">
      <c r="A93" s="58"/>
      <c r="B93" s="58"/>
      <c r="C93" s="58"/>
      <c r="D93" s="58"/>
      <c r="E93" s="58"/>
      <c r="F93" s="58"/>
      <c r="G93" s="58"/>
      <c r="H93" s="58"/>
      <c r="I93" s="58"/>
      <c r="J93" s="49"/>
      <c r="K93" s="49"/>
    </row>
    <row r="94" spans="1:11" ht="21">
      <c r="A94" s="63" t="s">
        <v>304</v>
      </c>
      <c r="B94" s="64"/>
      <c r="C94" s="65">
        <f>C64+C92+C78</f>
        <v>3187.44</v>
      </c>
      <c r="D94" s="63"/>
      <c r="E94" s="63"/>
      <c r="F94" s="65">
        <f>F64+F78+F92</f>
        <v>9167.1500000000015</v>
      </c>
      <c r="G94" s="63"/>
      <c r="H94" s="63"/>
      <c r="I94" s="65">
        <f>I64+I78+I92</f>
        <v>12354.590000000002</v>
      </c>
      <c r="J94" s="49"/>
      <c r="K94" s="49"/>
    </row>
    <row r="97" spans="3:9" ht="23.45">
      <c r="C97" s="44" t="s">
        <v>305</v>
      </c>
      <c r="D97" s="44" t="s">
        <v>144</v>
      </c>
      <c r="E97" s="44" t="s">
        <v>306</v>
      </c>
    </row>
    <row r="98" spans="3:9" ht="25.9">
      <c r="C98" s="45" t="s">
        <v>307</v>
      </c>
      <c r="D98" s="46">
        <v>3000</v>
      </c>
      <c r="E98" t="s">
        <v>308</v>
      </c>
    </row>
    <row r="99" spans="3:9" ht="25.9">
      <c r="C99" s="45" t="s">
        <v>309</v>
      </c>
      <c r="D99" s="46">
        <v>330</v>
      </c>
      <c r="E99" t="s">
        <v>310</v>
      </c>
    </row>
    <row r="100" spans="3:9" ht="25.9">
      <c r="C100" s="45" t="s">
        <v>311</v>
      </c>
      <c r="D100" s="46">
        <f>D98-D99</f>
        <v>2670</v>
      </c>
      <c r="E100" t="s">
        <v>312</v>
      </c>
      <c r="I100" s="66"/>
    </row>
    <row r="101" spans="3:9" ht="25.9">
      <c r="C101" s="45" t="s">
        <v>313</v>
      </c>
      <c r="D101" s="46">
        <v>1000</v>
      </c>
    </row>
    <row r="102" spans="3:9" ht="25.9">
      <c r="C102" s="45" t="s">
        <v>309</v>
      </c>
      <c r="D102" s="46">
        <v>110</v>
      </c>
    </row>
    <row r="103" spans="3:9" ht="25.9">
      <c r="C103" s="45" t="s">
        <v>311</v>
      </c>
      <c r="D103" s="46">
        <f>D101-D102</f>
        <v>890</v>
      </c>
    </row>
    <row r="104" spans="3:9" ht="25.9">
      <c r="C104" s="47" t="s">
        <v>314</v>
      </c>
      <c r="D104" s="48">
        <f>D98+D99+D101+D102</f>
        <v>4440</v>
      </c>
    </row>
    <row r="106" spans="3:9">
      <c r="E106" s="16"/>
    </row>
    <row r="108" spans="3:9">
      <c r="D108" s="16"/>
    </row>
    <row r="113" spans="3:4" ht="23.45">
      <c r="C113" s="75" t="s">
        <v>305</v>
      </c>
      <c r="D113" s="76" t="s">
        <v>144</v>
      </c>
    </row>
    <row r="114" spans="3:4" ht="25.9">
      <c r="C114" s="77" t="s">
        <v>315</v>
      </c>
      <c r="D114" s="78">
        <v>3000</v>
      </c>
    </row>
    <row r="115" spans="3:4" ht="21">
      <c r="C115" s="81" t="s">
        <v>309</v>
      </c>
      <c r="D115" s="82">
        <v>330</v>
      </c>
    </row>
    <row r="116" spans="3:4" ht="25.9">
      <c r="C116" s="79" t="s">
        <v>311</v>
      </c>
      <c r="D116" s="80">
        <f>D114-D115</f>
        <v>2670</v>
      </c>
    </row>
  </sheetData>
  <mergeCells count="2">
    <mergeCell ref="A2:B2"/>
    <mergeCell ref="A50:B5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C1458CC37B0444BA56125A6038E995" ma:contentTypeVersion="3" ma:contentTypeDescription="Crie um novo documento." ma:contentTypeScope="" ma:versionID="e6bb0adb1c29ddeba0a18117c6f399e4">
  <xsd:schema xmlns:xsd="http://www.w3.org/2001/XMLSchema" xmlns:xs="http://www.w3.org/2001/XMLSchema" xmlns:p="http://schemas.microsoft.com/office/2006/metadata/properties" xmlns:ns2="b7314150-17d6-4c36-bab9-49cf38293ea3" targetNamespace="http://schemas.microsoft.com/office/2006/metadata/properties" ma:root="true" ma:fieldsID="b320da244ecc769aa9541d299bf201ed" ns2:_="">
    <xsd:import namespace="b7314150-17d6-4c36-bab9-49cf38293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4150-17d6-4c36-bab9-49cf38293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882EFD-C843-4AC7-A0C5-BE9F5AA0F09E}"/>
</file>

<file path=customXml/itemProps2.xml><?xml version="1.0" encoding="utf-8"?>
<ds:datastoreItem xmlns:ds="http://schemas.openxmlformats.org/officeDocument/2006/customXml" ds:itemID="{5D60F2F1-E4A3-40E3-9FCE-0D1FBAC89628}"/>
</file>

<file path=customXml/itemProps3.xml><?xml version="1.0" encoding="utf-8"?>
<ds:datastoreItem xmlns:ds="http://schemas.openxmlformats.org/officeDocument/2006/customXml" ds:itemID="{DED3F6FC-2E85-476F-A47F-0CDB87F95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NEUSA IRMA DE OLIVEIRA</cp:lastModifiedBy>
  <cp:revision/>
  <dcterms:created xsi:type="dcterms:W3CDTF">2026-03-14T21:17:27Z</dcterms:created>
  <dcterms:modified xsi:type="dcterms:W3CDTF">2026-04-09T23:33:44Z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0x0101006CC1458CC37B0444BA56125A6038E995</vt:lpwstr>
  </property>
  <property fmtid="{D5CDD505-2E9C-101B-9397-08002B2CF9AE}" pid="3" name="MediaServiceImageTags">
    <vt:lpwstr/>
  </property>
</Properties>
</file>