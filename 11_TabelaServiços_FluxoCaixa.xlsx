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eusa\OneDrive\Desktop\Neusa_PI_Oficial\"/>
    </mc:Choice>
  </mc:AlternateContent>
  <xr:revisionPtr revIDLastSave="0" documentId="13_ncr:1_{422268F2-AF5F-45B7-9742-24474567E85A}" xr6:coauthVersionLast="47" xr6:coauthVersionMax="47" xr10:uidLastSave="{00000000-0000-0000-0000-000000000000}"/>
  <bookViews>
    <workbookView xWindow="-108" yWindow="-108" windowWidth="23256" windowHeight="12456" firstSheet="1" activeTab="3" xr2:uid="{00000000-000D-0000-FFFF-FFFF00000000}"/>
  </bookViews>
  <sheets>
    <sheet name="Tabela_Serviços (2)" sheetId="10" state="hidden" r:id="rId1"/>
    <sheet name="Tabela_Serviços" sheetId="2" r:id="rId2"/>
    <sheet name="Folha_Pagamento" sheetId="9" r:id="rId3"/>
    <sheet name="Despesas_2025" sheetId="8" r:id="rId4"/>
    <sheet name="Fluxo de Caixa" sheetId="4" r:id="rId5"/>
    <sheet name="Controle_2025" sheetId="1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gzYI72AaKdIAn6wlo8xmv6zx5O3HWlkxoPPnA8GXufI="/>
    </ext>
  </extLst>
</workbook>
</file>

<file path=xl/calcChain.xml><?xml version="1.0" encoding="utf-8"?>
<calcChain xmlns="http://schemas.openxmlformats.org/spreadsheetml/2006/main">
  <c r="G261" i="4" l="1"/>
  <c r="G262" i="4" s="1"/>
  <c r="G263" i="4" s="1"/>
  <c r="G264" i="4" s="1"/>
  <c r="G265" i="4" s="1"/>
  <c r="G266" i="4" s="1"/>
  <c r="G267" i="4" s="1"/>
  <c r="G268" i="4" s="1"/>
  <c r="G269" i="4" s="1"/>
  <c r="G270" i="4" s="1"/>
  <c r="G271" i="4" s="1"/>
  <c r="G272" i="4" s="1"/>
  <c r="G273" i="4" s="1"/>
  <c r="G274" i="4" s="1"/>
  <c r="G275" i="4" s="1"/>
  <c r="G276" i="4" s="1"/>
  <c r="G277" i="4" s="1"/>
  <c r="G278" i="4" s="1"/>
  <c r="G279" i="4" s="1"/>
  <c r="G280" i="4" s="1"/>
  <c r="G281" i="4" s="1"/>
  <c r="G282" i="4" s="1"/>
  <c r="G283" i="4" s="1"/>
  <c r="G284" i="4" s="1"/>
  <c r="G285" i="4" s="1"/>
  <c r="G286" i="4" s="1"/>
  <c r="G287" i="4" s="1"/>
  <c r="G288" i="4" s="1"/>
  <c r="G289" i="4" s="1"/>
  <c r="G290" i="4" s="1"/>
  <c r="G291" i="4" s="1"/>
  <c r="G292" i="4" s="1"/>
  <c r="G293" i="4" s="1"/>
  <c r="G294" i="4" s="1"/>
  <c r="G295" i="4" s="1"/>
  <c r="G296" i="4" s="1"/>
  <c r="G297" i="4" s="1"/>
  <c r="G298" i="4" s="1"/>
  <c r="G299" i="4" s="1"/>
  <c r="G300" i="4" s="1"/>
  <c r="G260" i="4"/>
  <c r="I91" i="9" l="1"/>
  <c r="I90" i="9"/>
  <c r="I89" i="9"/>
  <c r="I88" i="9"/>
  <c r="I87" i="9"/>
  <c r="I86" i="9"/>
  <c r="F85" i="9"/>
  <c r="F92" i="9" s="1"/>
  <c r="C85" i="9"/>
  <c r="C92" i="9" s="1"/>
  <c r="I84" i="9"/>
  <c r="I83" i="9"/>
  <c r="I82" i="9"/>
  <c r="I85" i="9" s="1"/>
  <c r="I92" i="9" s="1"/>
  <c r="I77" i="9"/>
  <c r="I76" i="9"/>
  <c r="I75" i="9"/>
  <c r="I74" i="9"/>
  <c r="I73" i="9"/>
  <c r="I72" i="9"/>
  <c r="F71" i="9"/>
  <c r="F78" i="9" s="1"/>
  <c r="C71" i="9"/>
  <c r="C78" i="9" s="1"/>
  <c r="I70" i="9"/>
  <c r="I69" i="9"/>
  <c r="I68" i="9"/>
  <c r="I63" i="9"/>
  <c r="I62" i="9"/>
  <c r="I61" i="9"/>
  <c r="I60" i="9"/>
  <c r="I59" i="9"/>
  <c r="I58" i="9"/>
  <c r="F57" i="9"/>
  <c r="F64" i="9" s="1"/>
  <c r="C57" i="9"/>
  <c r="C64" i="9" s="1"/>
  <c r="I56" i="9"/>
  <c r="I55" i="9"/>
  <c r="I57" i="9" s="1"/>
  <c r="I64" i="9" s="1"/>
  <c r="I54" i="9"/>
  <c r="I45" i="9"/>
  <c r="I44" i="9"/>
  <c r="I43" i="9"/>
  <c r="I42" i="9"/>
  <c r="I41" i="9"/>
  <c r="I40" i="9"/>
  <c r="F39" i="9"/>
  <c r="F46" i="9" s="1"/>
  <c r="C39" i="9"/>
  <c r="C46" i="9" s="1"/>
  <c r="I38" i="9"/>
  <c r="I37" i="9"/>
  <c r="I36" i="9"/>
  <c r="I39" i="9" s="1"/>
  <c r="I46" i="9" s="1"/>
  <c r="I31" i="9"/>
  <c r="I30" i="9"/>
  <c r="I29" i="9"/>
  <c r="I28" i="9"/>
  <c r="I27" i="9"/>
  <c r="I26" i="9"/>
  <c r="F25" i="9"/>
  <c r="F32" i="9" s="1"/>
  <c r="C25" i="9"/>
  <c r="C32" i="9" s="1"/>
  <c r="I24" i="9"/>
  <c r="I23" i="9"/>
  <c r="I22" i="9"/>
  <c r="I25" i="9" s="1"/>
  <c r="I32" i="9" s="1"/>
  <c r="I17" i="9"/>
  <c r="I16" i="9"/>
  <c r="I15" i="9"/>
  <c r="I14" i="9"/>
  <c r="I13" i="9"/>
  <c r="I12" i="9"/>
  <c r="F11" i="9"/>
  <c r="F18" i="9" s="1"/>
  <c r="C11" i="9"/>
  <c r="C18" i="9" s="1"/>
  <c r="C48" i="9" s="1"/>
  <c r="I10" i="9"/>
  <c r="I9" i="9"/>
  <c r="I8" i="9"/>
  <c r="I11" i="9" s="1"/>
  <c r="I18" i="9" s="1"/>
  <c r="F199" i="4"/>
  <c r="E35" i="8"/>
  <c r="I94" i="9" l="1"/>
  <c r="I71" i="9"/>
  <c r="I78" i="9" s="1"/>
  <c r="C94" i="9"/>
  <c r="F94" i="9"/>
  <c r="F48" i="9"/>
  <c r="I48" i="9"/>
  <c r="E46" i="4"/>
  <c r="F97" i="4"/>
  <c r="G35" i="8"/>
  <c r="F35" i="8"/>
  <c r="D35" i="8"/>
  <c r="C35" i="8"/>
  <c r="B35" i="8"/>
  <c r="F303" i="4"/>
  <c r="E301" i="4"/>
  <c r="F254" i="4"/>
  <c r="E252" i="4"/>
  <c r="E197" i="4"/>
  <c r="F148" i="4"/>
  <c r="E146" i="4"/>
  <c r="E95" i="4"/>
  <c r="F48" i="4"/>
  <c r="E48" i="4"/>
  <c r="G5" i="4"/>
  <c r="G6" i="4" s="1"/>
  <c r="G7" i="4" s="1"/>
  <c r="G8" i="4" s="1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G34" i="4" s="1"/>
  <c r="G35" i="4" s="1"/>
  <c r="G36" i="4" s="1"/>
  <c r="G37" i="4" s="1"/>
  <c r="G38" i="4" s="1"/>
  <c r="G39" i="4" s="1"/>
  <c r="G40" i="4" s="1"/>
  <c r="G41" i="4" s="1"/>
  <c r="G42" i="4" s="1"/>
  <c r="G43" i="4" s="1"/>
  <c r="G44" i="4" s="1"/>
  <c r="G45" i="4" s="1"/>
  <c r="H76" i="1"/>
  <c r="H81" i="1" s="1"/>
  <c r="G76" i="1"/>
  <c r="G81" i="1" s="1"/>
  <c r="F76" i="1"/>
  <c r="F81" i="1" s="1"/>
  <c r="E76" i="1"/>
  <c r="E81" i="1" s="1"/>
  <c r="D76" i="1"/>
  <c r="D81" i="1" s="1"/>
  <c r="C76" i="1"/>
  <c r="C81" i="1" s="1"/>
  <c r="H56" i="1"/>
  <c r="H80" i="1" s="1"/>
  <c r="G56" i="1"/>
  <c r="G80" i="1" s="1"/>
  <c r="F56" i="1"/>
  <c r="F80" i="1" s="1"/>
  <c r="E56" i="1"/>
  <c r="E80" i="1" s="1"/>
  <c r="D56" i="1"/>
  <c r="D80" i="1" s="1"/>
  <c r="C56" i="1"/>
  <c r="C80" i="1" s="1"/>
  <c r="C22" i="1"/>
  <c r="C79" i="1" s="1"/>
  <c r="C82" i="1" l="1"/>
  <c r="C83" i="1" s="1"/>
  <c r="J45" i="4"/>
  <c r="J96" i="4"/>
  <c r="J47" i="4"/>
  <c r="J95" i="4"/>
  <c r="C85" i="1"/>
  <c r="F85" i="1"/>
  <c r="G85" i="1"/>
  <c r="G48" i="4"/>
  <c r="H85" i="1"/>
  <c r="D85" i="1"/>
  <c r="E85" i="1"/>
  <c r="E53" i="4" l="1"/>
  <c r="E97" i="4" s="1"/>
  <c r="G97" i="4" s="1"/>
  <c r="J50" i="4"/>
  <c r="J97" i="4"/>
  <c r="D3" i="1"/>
  <c r="D22" i="1" s="1"/>
  <c r="D79" i="1" s="1"/>
  <c r="G53" i="4" l="1"/>
  <c r="G54" i="4" s="1"/>
  <c r="G55" i="4" s="1"/>
  <c r="G56" i="4" s="1"/>
  <c r="G57" i="4" s="1"/>
  <c r="G58" i="4" s="1"/>
  <c r="G59" i="4" s="1"/>
  <c r="G60" i="4" s="1"/>
  <c r="G61" i="4" s="1"/>
  <c r="G62" i="4" s="1"/>
  <c r="G63" i="4" s="1"/>
  <c r="G64" i="4" s="1"/>
  <c r="G65" i="4" s="1"/>
  <c r="G66" i="4" s="1"/>
  <c r="G67" i="4" s="1"/>
  <c r="G68" i="4" s="1"/>
  <c r="G69" i="4" s="1"/>
  <c r="G70" i="4" s="1"/>
  <c r="G71" i="4" s="1"/>
  <c r="G72" i="4" s="1"/>
  <c r="G73" i="4" s="1"/>
  <c r="G74" i="4" s="1"/>
  <c r="G75" i="4" s="1"/>
  <c r="G76" i="4" s="1"/>
  <c r="G77" i="4" s="1"/>
  <c r="G78" i="4" s="1"/>
  <c r="G79" i="4" s="1"/>
  <c r="G80" i="4" s="1"/>
  <c r="G81" i="4" s="1"/>
  <c r="G82" i="4" s="1"/>
  <c r="G83" i="4" s="1"/>
  <c r="G84" i="4" s="1"/>
  <c r="G85" i="4" s="1"/>
  <c r="G86" i="4" s="1"/>
  <c r="G87" i="4" s="1"/>
  <c r="G88" i="4" s="1"/>
  <c r="G89" i="4" s="1"/>
  <c r="G90" i="4" s="1"/>
  <c r="G91" i="4" s="1"/>
  <c r="G92" i="4" s="1"/>
  <c r="G93" i="4" s="1"/>
  <c r="G94" i="4" s="1"/>
  <c r="D82" i="1"/>
  <c r="D83" i="1" s="1"/>
  <c r="E3" i="1" l="1"/>
  <c r="E22" i="1" s="1"/>
  <c r="E79" i="1" s="1"/>
  <c r="E82" i="1" s="1"/>
  <c r="F3" i="1" l="1"/>
  <c r="F22" i="1" s="1"/>
  <c r="F79" i="1" s="1"/>
  <c r="E83" i="1"/>
  <c r="E102" i="4" l="1"/>
  <c r="F82" i="1"/>
  <c r="G3" i="1" s="1"/>
  <c r="G22" i="1" s="1"/>
  <c r="G79" i="1" s="1"/>
  <c r="E148" i="4" l="1"/>
  <c r="G148" i="4" s="1"/>
  <c r="G102" i="4"/>
  <c r="G103" i="4" s="1"/>
  <c r="G104" i="4" s="1"/>
  <c r="G105" i="4" s="1"/>
  <c r="G106" i="4" s="1"/>
  <c r="G107" i="4" s="1"/>
  <c r="G108" i="4" s="1"/>
  <c r="G109" i="4" s="1"/>
  <c r="G110" i="4" s="1"/>
  <c r="G111" i="4" s="1"/>
  <c r="G112" i="4" s="1"/>
  <c r="G113" i="4" s="1"/>
  <c r="G114" i="4" s="1"/>
  <c r="G115" i="4" s="1"/>
  <c r="G116" i="4" s="1"/>
  <c r="G117" i="4" s="1"/>
  <c r="G118" i="4" s="1"/>
  <c r="G119" i="4" s="1"/>
  <c r="G120" i="4" s="1"/>
  <c r="G121" i="4" s="1"/>
  <c r="G122" i="4" s="1"/>
  <c r="G123" i="4" s="1"/>
  <c r="G124" i="4" s="1"/>
  <c r="G125" i="4" s="1"/>
  <c r="G126" i="4" s="1"/>
  <c r="G127" i="4" s="1"/>
  <c r="G128" i="4" s="1"/>
  <c r="G129" i="4" s="1"/>
  <c r="G130" i="4" s="1"/>
  <c r="G131" i="4" s="1"/>
  <c r="G132" i="4" s="1"/>
  <c r="G133" i="4" s="1"/>
  <c r="G134" i="4" s="1"/>
  <c r="G135" i="4" s="1"/>
  <c r="G136" i="4" s="1"/>
  <c r="G137" i="4" s="1"/>
  <c r="G138" i="4" s="1"/>
  <c r="G139" i="4" s="1"/>
  <c r="G140" i="4" s="1"/>
  <c r="G141" i="4" s="1"/>
  <c r="G142" i="4" s="1"/>
  <c r="G143" i="4" s="1"/>
  <c r="G144" i="4" s="1"/>
  <c r="G145" i="4" s="1"/>
  <c r="G82" i="1"/>
  <c r="H3" i="1" s="1"/>
  <c r="H22" i="1" s="1"/>
  <c r="H79" i="1" s="1"/>
  <c r="H82" i="1" s="1"/>
  <c r="F83" i="1"/>
  <c r="E153" i="4" l="1"/>
  <c r="G153" i="4" s="1"/>
  <c r="G154" i="4" s="1"/>
  <c r="G155" i="4" s="1"/>
  <c r="G156" i="4" s="1"/>
  <c r="G157" i="4" s="1"/>
  <c r="G158" i="4" s="1"/>
  <c r="G159" i="4" s="1"/>
  <c r="G160" i="4" s="1"/>
  <c r="G161" i="4" s="1"/>
  <c r="G162" i="4" s="1"/>
  <c r="G163" i="4" s="1"/>
  <c r="G164" i="4" s="1"/>
  <c r="G165" i="4" s="1"/>
  <c r="G166" i="4" s="1"/>
  <c r="G167" i="4" s="1"/>
  <c r="G168" i="4" s="1"/>
  <c r="G169" i="4" s="1"/>
  <c r="G170" i="4" s="1"/>
  <c r="G171" i="4" s="1"/>
  <c r="G172" i="4" s="1"/>
  <c r="G173" i="4" s="1"/>
  <c r="G174" i="4" s="1"/>
  <c r="G175" i="4" s="1"/>
  <c r="G176" i="4" s="1"/>
  <c r="G177" i="4" s="1"/>
  <c r="G178" i="4" s="1"/>
  <c r="G179" i="4" s="1"/>
  <c r="G180" i="4" s="1"/>
  <c r="G181" i="4" s="1"/>
  <c r="G182" i="4" s="1"/>
  <c r="G183" i="4" s="1"/>
  <c r="G184" i="4" s="1"/>
  <c r="G185" i="4" s="1"/>
  <c r="G186" i="4" s="1"/>
  <c r="G187" i="4" s="1"/>
  <c r="G188" i="4" s="1"/>
  <c r="G189" i="4" s="1"/>
  <c r="G190" i="4" s="1"/>
  <c r="G191" i="4" s="1"/>
  <c r="G192" i="4" s="1"/>
  <c r="G193" i="4" s="1"/>
  <c r="G194" i="4" s="1"/>
  <c r="G195" i="4" s="1"/>
  <c r="G196" i="4" s="1"/>
  <c r="G83" i="1"/>
  <c r="H83" i="1" s="1"/>
  <c r="E199" i="4" l="1"/>
  <c r="G199" i="4" s="1"/>
  <c r="E204" i="4" l="1"/>
  <c r="E254" i="4" l="1"/>
  <c r="G254" i="4" s="1"/>
  <c r="G204" i="4"/>
  <c r="G205" i="4" s="1"/>
  <c r="G206" i="4" s="1"/>
  <c r="G207" i="4" s="1"/>
  <c r="G208" i="4" s="1"/>
  <c r="G209" i="4" s="1"/>
  <c r="G210" i="4" s="1"/>
  <c r="G211" i="4" s="1"/>
  <c r="G212" i="4" s="1"/>
  <c r="G213" i="4" s="1"/>
  <c r="G214" i="4" s="1"/>
  <c r="G215" i="4" s="1"/>
  <c r="G216" i="4" s="1"/>
  <c r="G217" i="4" s="1"/>
  <c r="G218" i="4" s="1"/>
  <c r="G219" i="4" s="1"/>
  <c r="G220" i="4" s="1"/>
  <c r="G221" i="4" s="1"/>
  <c r="G222" i="4" s="1"/>
  <c r="G223" i="4" s="1"/>
  <c r="G224" i="4" s="1"/>
  <c r="G225" i="4" s="1"/>
  <c r="G226" i="4" s="1"/>
  <c r="G227" i="4" s="1"/>
  <c r="G228" i="4" s="1"/>
  <c r="G229" i="4" s="1"/>
  <c r="G230" i="4" s="1"/>
  <c r="G231" i="4" s="1"/>
  <c r="G232" i="4" s="1"/>
  <c r="G233" i="4" s="1"/>
  <c r="G234" i="4" s="1"/>
  <c r="G235" i="4" s="1"/>
  <c r="G236" i="4" s="1"/>
  <c r="G237" i="4" s="1"/>
  <c r="G238" i="4" s="1"/>
  <c r="G239" i="4" s="1"/>
  <c r="G240" i="4" s="1"/>
  <c r="G241" i="4" s="1"/>
  <c r="G242" i="4" s="1"/>
  <c r="G243" i="4" s="1"/>
  <c r="G244" i="4" s="1"/>
  <c r="G245" i="4" s="1"/>
  <c r="G246" i="4" s="1"/>
  <c r="G247" i="4" s="1"/>
  <c r="G248" i="4" s="1"/>
  <c r="G249" i="4" s="1"/>
  <c r="G250" i="4" s="1"/>
  <c r="G251" i="4" s="1"/>
  <c r="E259" i="4" l="1"/>
  <c r="E303" i="4" l="1"/>
  <c r="G303" i="4" s="1"/>
  <c r="G259" i="4"/>
</calcChain>
</file>

<file path=xl/sharedStrings.xml><?xml version="1.0" encoding="utf-8"?>
<sst xmlns="http://schemas.openxmlformats.org/spreadsheetml/2006/main" count="1178" uniqueCount="362">
  <si>
    <t>PLANILHA DE
CONTROLE FINANCEIRO</t>
  </si>
  <si>
    <t>JANEIRO</t>
  </si>
  <si>
    <t>FEVEREIRO</t>
  </si>
  <si>
    <t>MARÇO</t>
  </si>
  <si>
    <t>ABRIL</t>
  </si>
  <si>
    <t>MAIO</t>
  </si>
  <si>
    <t>JUNHO</t>
  </si>
  <si>
    <t>Capital Inicial/Saldo Inicial</t>
  </si>
  <si>
    <t>ENTRADA: RECEITAS</t>
  </si>
  <si>
    <t>1.1 Receita de Serviços</t>
  </si>
  <si>
    <t>MEI (Comércio/Serviço)</t>
  </si>
  <si>
    <t>Simples Nacional (ME - Serv)</t>
  </si>
  <si>
    <t>Simples Nacional (ME - Com)</t>
  </si>
  <si>
    <t>EPP (Simples/Presumido)</t>
  </si>
  <si>
    <t>Abertura de Empresa (ME/EPP)</t>
  </si>
  <si>
    <t>DECORE (Declaração de Percepção de Rendimentos)</t>
  </si>
  <si>
    <t>Declaração de IRPF (Simplificada)</t>
  </si>
  <si>
    <t>Declaração de IRPF (Completa/Complexa)</t>
  </si>
  <si>
    <t>Abertura de MEI</t>
  </si>
  <si>
    <t>Abertura de ME/EPP (Simples Nacional)</t>
  </si>
  <si>
    <t>Desenquadramento de MEI para ME</t>
  </si>
  <si>
    <t>Parcelamento de Dívidas (DAS em atraso)</t>
  </si>
  <si>
    <t>1.2 Outras Receitas</t>
  </si>
  <si>
    <t>Recuperação de Despesas</t>
  </si>
  <si>
    <t>Juros / Multas Recebidas</t>
  </si>
  <si>
    <t>TOTAL</t>
  </si>
  <si>
    <t>SAÍDA: DESPESAS FIXAS</t>
  </si>
  <si>
    <t>2.1 Pessoal</t>
  </si>
  <si>
    <t>Salários e Encargos</t>
  </si>
  <si>
    <t>Pró-labore</t>
  </si>
  <si>
    <t>FGTS</t>
  </si>
  <si>
    <t>Vale Transporte</t>
  </si>
  <si>
    <t>2.2 Estrutura</t>
  </si>
  <si>
    <t>Aluguel</t>
  </si>
  <si>
    <t>-</t>
  </si>
  <si>
    <t>Energia elétrica</t>
  </si>
  <si>
    <t>Água</t>
  </si>
  <si>
    <t>Telefone/Internet Vivo</t>
  </si>
  <si>
    <t>Outros</t>
  </si>
  <si>
    <t>2.3 Sistemas e Tecnologia</t>
  </si>
  <si>
    <t>Sistema Contábil</t>
  </si>
  <si>
    <t>Licenças de Software</t>
  </si>
  <si>
    <t>Armazenamento em Nuvem</t>
  </si>
  <si>
    <t>Suporte de TI</t>
  </si>
  <si>
    <t>2.4 Obrigações e Impostos</t>
  </si>
  <si>
    <t>DAS</t>
  </si>
  <si>
    <t>IPTU</t>
  </si>
  <si>
    <t>Taxas Municipais (ex. Alvará)</t>
  </si>
  <si>
    <t>2.5 Conselhos e Certificações</t>
  </si>
  <si>
    <t>CRC Anual</t>
  </si>
  <si>
    <t>Certificação Digital (eCPF/eCNPJ)</t>
  </si>
  <si>
    <t>Provisões</t>
  </si>
  <si>
    <t>Provisão 13º Salário</t>
  </si>
  <si>
    <t>FGTS sobre Provisões</t>
  </si>
  <si>
    <t>SAÍDA: DESPESAS VARIÁVEIS</t>
  </si>
  <si>
    <t>3.1 Operacionais</t>
  </si>
  <si>
    <t>Mercado (café, limpeza, descartáveis)</t>
  </si>
  <si>
    <t>Material de Escritório</t>
  </si>
  <si>
    <t>Combustível</t>
  </si>
  <si>
    <t>Marketing / Divulgação</t>
  </si>
  <si>
    <t>3.2 Serviços Eventuais</t>
  </si>
  <si>
    <t>JUCESP (DARE)</t>
  </si>
  <si>
    <t>CLCB - Taxa Bombeiros</t>
  </si>
  <si>
    <t>Extintores</t>
  </si>
  <si>
    <t>Taxas diversas</t>
  </si>
  <si>
    <t>Correios / Motoboy</t>
  </si>
  <si>
    <t>3.3 Investimentos / Despesas Eventuais</t>
  </si>
  <si>
    <t>Equipamentos de Informática</t>
  </si>
  <si>
    <t>Móveis</t>
  </si>
  <si>
    <t>Reforma / Pintura</t>
  </si>
  <si>
    <t>Melhorias Predial</t>
  </si>
  <si>
    <t>RECEITA</t>
  </si>
  <si>
    <t>SALDO RECEITAS</t>
  </si>
  <si>
    <t>ACUMULADO</t>
  </si>
  <si>
    <t>Despesas Totais</t>
  </si>
  <si>
    <t>E x c e l e n t e j o a o</t>
  </si>
  <si>
    <t>Porte/Regime </t>
  </si>
  <si>
    <t>Serviços Incluídos</t>
  </si>
  <si>
    <t>Faixa de Preço (Mensal)</t>
  </si>
  <si>
    <t>DAS, Relatório Mensal, Declaração Anual (DASN), desenquadramento, regularização.</t>
  </si>
  <si>
    <t>Apuração de impostos (DAS), Folha/Pró-labore, Balancetes, Escrituração.</t>
  </si>
  <si>
    <t>Apuração de impostos, Folha, Nota Fiscal, Entrada/Saída, SPED.</t>
  </si>
  <si>
    <t>Gestão contábil completa, tributária, societária e trabalhista.</t>
  </si>
  <si>
    <t>Varia de R$300-R$1.000,00</t>
  </si>
  <si>
    <t>R$130,00-R$ 300,00</t>
  </si>
  <si>
    <t>R$350,00-R$800,00 (depende do volume de bens, ações e dependentes).</t>
  </si>
  <si>
    <t>R$150,00-R$350,00 (consultoria de CNAEs e configuração de notas fiscais)</t>
  </si>
  <si>
    <t>R$1.000,00-R$2.500,00 (honorários) + taxas da JUCESP e Prefeitura (VRE). Isenção de honorário para contrato mensal</t>
  </si>
  <si>
    <t>Declaração Anual (DASN-SIMEI)</t>
  </si>
  <si>
    <t>R$100,00-R$250,00</t>
  </si>
  <si>
    <t>Consultoria Especializada MEI (Hora/Reunião)</t>
  </si>
  <si>
    <t>R$150,00-R$400,00.</t>
  </si>
  <si>
    <t>R$500,00-R$ 1.200,00 (envolve alteração contratual na Junta Comercial).</t>
  </si>
  <si>
    <t>R$150,00-R$ 300,00</t>
  </si>
  <si>
    <t>Data</t>
  </si>
  <si>
    <t>Descrição</t>
  </si>
  <si>
    <t>Saldo</t>
  </si>
  <si>
    <t>Salários</t>
  </si>
  <si>
    <t>Internet</t>
  </si>
  <si>
    <t>CLCB</t>
  </si>
  <si>
    <t>JANEIRO/2025</t>
  </si>
  <si>
    <t>Obs.</t>
  </si>
  <si>
    <t xml:space="preserve">Entrada </t>
  </si>
  <si>
    <t>Saída</t>
  </si>
  <si>
    <t>Capital Integralizado</t>
  </si>
  <si>
    <t xml:space="preserve">Pgto DARE </t>
  </si>
  <si>
    <t>Taxa Registro JUCESP</t>
  </si>
  <si>
    <t>Pagto Licença/Vistoria Bombeiros</t>
  </si>
  <si>
    <t>Compra de 2 extintores</t>
  </si>
  <si>
    <t>Pagto taxa Alvará - anual</t>
  </si>
  <si>
    <t>Mercado</t>
  </si>
  <si>
    <t>Despesa com Veículos</t>
  </si>
  <si>
    <t>Pagto Salários</t>
  </si>
  <si>
    <t>2 funcionários na folha</t>
  </si>
  <si>
    <t>Pagto FGTS</t>
  </si>
  <si>
    <t>Vale Refeição</t>
  </si>
  <si>
    <t>VR</t>
  </si>
  <si>
    <t>Material Escritório</t>
  </si>
  <si>
    <t>Computadores e Periféricos</t>
  </si>
  <si>
    <t>Pagto 01/15</t>
  </si>
  <si>
    <t>Pagto 01/18</t>
  </si>
  <si>
    <t>Prolabore</t>
  </si>
  <si>
    <t>pagto no mês</t>
  </si>
  <si>
    <t>Pagto Certificação Digital</t>
  </si>
  <si>
    <t>eCPF(2sócios); eCNPJ; Vr anual</t>
  </si>
  <si>
    <t>Pagto Conta Energia</t>
  </si>
  <si>
    <t>Pagto CPFL</t>
  </si>
  <si>
    <t>Pagto VT</t>
  </si>
  <si>
    <t>funcionários</t>
  </si>
  <si>
    <t>Pagto Conta  Água</t>
  </si>
  <si>
    <t>Sanasa</t>
  </si>
  <si>
    <t xml:space="preserve"> DECORE</t>
  </si>
  <si>
    <t>Sr. Aloísio (p/ banco)</t>
  </si>
  <si>
    <t>Antonio/Carlos/Linda/Fiona</t>
  </si>
  <si>
    <t xml:space="preserve"> DECORE </t>
  </si>
  <si>
    <t xml:space="preserve"> Sr. Cláudio (p/ imobiliária)</t>
  </si>
  <si>
    <t>Temperos Dimas (mensal)</t>
  </si>
  <si>
    <t>Pagto IPTU</t>
  </si>
  <si>
    <t>venci/o 26 de cada mês</t>
  </si>
  <si>
    <t>Consultoria MEI</t>
  </si>
  <si>
    <t>Marcos - Feirante</t>
  </si>
  <si>
    <t>Manic. - Alice</t>
  </si>
  <si>
    <t>Reforma/Pintura</t>
  </si>
  <si>
    <t>Registro no CRC</t>
  </si>
  <si>
    <t>Contador e Escritório anuidade</t>
  </si>
  <si>
    <t>Fevereiro/2025</t>
  </si>
  <si>
    <t>Internet Vivo</t>
  </si>
  <si>
    <t>pagto Vivo</t>
  </si>
  <si>
    <t>pgto Makro System</t>
  </si>
  <si>
    <t>Abertura MEI</t>
  </si>
  <si>
    <t>MEI - Anderson Nunes</t>
  </si>
  <si>
    <t>4(quatro) atendimento MEi</t>
  </si>
  <si>
    <t>Pagto DAS - SN</t>
  </si>
  <si>
    <t>sr. Elisa - Feirante</t>
  </si>
  <si>
    <t>DIRPF (Completa/Complexa)</t>
  </si>
  <si>
    <t>Família Tavares</t>
  </si>
  <si>
    <t>3(três) atendimento MEI</t>
  </si>
  <si>
    <t>5(cinco) atendimento MEI</t>
  </si>
  <si>
    <t>Manic. - Dalva</t>
  </si>
  <si>
    <t>Estética - Lourdes</t>
  </si>
  <si>
    <t>OBS.</t>
  </si>
  <si>
    <t xml:space="preserve">Certificação Digital </t>
  </si>
  <si>
    <t>Anual</t>
  </si>
  <si>
    <t>Registro CRC</t>
  </si>
  <si>
    <t>ProLabore</t>
  </si>
  <si>
    <t>VIVO</t>
  </si>
  <si>
    <t>para 2029</t>
  </si>
  <si>
    <t>Provisão Férias + 1/3</t>
  </si>
  <si>
    <t>para 2030</t>
  </si>
  <si>
    <t>MAKRO</t>
  </si>
  <si>
    <t>JUCESP</t>
  </si>
  <si>
    <t>DARE</t>
  </si>
  <si>
    <t>Bimestral</t>
  </si>
  <si>
    <t>Equiptos de Informática</t>
  </si>
  <si>
    <t>Marketing</t>
  </si>
  <si>
    <t>Trimestral</t>
  </si>
  <si>
    <t>Copa/Cozinha/Limpeza</t>
  </si>
  <si>
    <t>Compra Copa/Cozinha/Limpeza</t>
  </si>
  <si>
    <t>Abril</t>
  </si>
  <si>
    <t>Maio</t>
  </si>
  <si>
    <t>Março/2025</t>
  </si>
  <si>
    <t>Janeiro</t>
  </si>
  <si>
    <t>Fevereiro</t>
  </si>
  <si>
    <t>Março</t>
  </si>
  <si>
    <t>Junho</t>
  </si>
  <si>
    <t>Vence</t>
  </si>
  <si>
    <t>TOTAL MENSAL</t>
  </si>
  <si>
    <t>Despesas Mensais  -  1º Semestre  -  2025</t>
  </si>
  <si>
    <t>Despesas</t>
  </si>
  <si>
    <t>Fixas</t>
  </si>
  <si>
    <t>Variáveis</t>
  </si>
  <si>
    <t>ABRIL/2025</t>
  </si>
  <si>
    <t>MAIO/2025</t>
  </si>
  <si>
    <t>JUNHO/2025</t>
  </si>
  <si>
    <t>INSS ProLabore</t>
  </si>
  <si>
    <t>INSS sócios</t>
  </si>
  <si>
    <t>pagto sócios</t>
  </si>
  <si>
    <t>Alvará//DAS</t>
  </si>
  <si>
    <t>Vale refeição</t>
  </si>
  <si>
    <t>Papelaria</t>
  </si>
  <si>
    <t>Funcionários</t>
  </si>
  <si>
    <t>semestral</t>
  </si>
  <si>
    <t>2(dois)) atendimento MEi</t>
  </si>
  <si>
    <t>Odília</t>
  </si>
  <si>
    <t>Ricardo Pompeo</t>
  </si>
  <si>
    <t>6(seis) atendimento MEI</t>
  </si>
  <si>
    <t>4(quatro) atendimento MEI</t>
  </si>
  <si>
    <t>Eletrecista Mauro</t>
  </si>
  <si>
    <t>Salão Andorinha</t>
  </si>
  <si>
    <t>IRPF - sra Cléia/sr Décio/sra Marine</t>
  </si>
  <si>
    <t>IRPF - sra. Penha/sra. Célia/sr Antonio</t>
  </si>
  <si>
    <t>IRPF - sra. Diva/sr. Jonas</t>
  </si>
  <si>
    <t>IRPF - sr. Adriano</t>
  </si>
  <si>
    <t>5(cinco) atendimento MEi</t>
  </si>
  <si>
    <t>sr. Hélio - Feirante</t>
  </si>
  <si>
    <t>Dr. Anderson</t>
  </si>
  <si>
    <t>SR João/srTúlio</t>
  </si>
  <si>
    <t>sr Maurício</t>
  </si>
  <si>
    <t>sra. Laura/sra. Jovina</t>
  </si>
  <si>
    <t>Banca Pastel Super</t>
  </si>
  <si>
    <t>Boleira Emília</t>
  </si>
  <si>
    <t>MEI- sra. Leila -Loja de Controles</t>
  </si>
  <si>
    <t xml:space="preserve"> sra. Patrícia - Feirante roupas</t>
  </si>
  <si>
    <t xml:space="preserve"> sr. Anselmo Pintor</t>
  </si>
  <si>
    <t>Abertura de ME/EPP (SN)</t>
  </si>
  <si>
    <t xml:space="preserve"> sra. Cristina</t>
  </si>
  <si>
    <t>sra. Patrícia</t>
  </si>
  <si>
    <t xml:space="preserve"> sra. Paula/sr. André</t>
  </si>
  <si>
    <t xml:space="preserve"> sr. Anselmo</t>
  </si>
  <si>
    <t>sr. Pedro/sra Maura</t>
  </si>
  <si>
    <t>Consultório Dentista - Dra. Ellen</t>
  </si>
  <si>
    <t>sr Flávio</t>
  </si>
  <si>
    <t xml:space="preserve">MEI </t>
  </si>
  <si>
    <t>sra. Paula/sr. André</t>
  </si>
  <si>
    <t>MEI</t>
  </si>
  <si>
    <t>3(três) ME - mensalI</t>
  </si>
  <si>
    <t>5(três) ME - mensalI</t>
  </si>
  <si>
    <t>DECORE</t>
  </si>
  <si>
    <t>SR Fábio</t>
  </si>
  <si>
    <t>Pad. Rest. Boa Vida</t>
  </si>
  <si>
    <t>Doceria Doce Olhar</t>
  </si>
  <si>
    <t xml:space="preserve"> Sr. Andrelino/sra Cleuza /+3</t>
  </si>
  <si>
    <t>MEI (2)</t>
  </si>
  <si>
    <t>Ana/Alberto</t>
  </si>
  <si>
    <t>Adriana/Maria Aparecida</t>
  </si>
  <si>
    <t>sr Clóvis</t>
  </si>
  <si>
    <t>sr Tarso</t>
  </si>
  <si>
    <t>Dr Gabriel</t>
  </si>
  <si>
    <t>IRPF - sra. Maria Célia</t>
  </si>
  <si>
    <t>trimestral - publicidade/rede social</t>
  </si>
  <si>
    <t>Calçados Estiloso</t>
  </si>
  <si>
    <t>sr Cosme/ sr Young</t>
  </si>
  <si>
    <t>Dra Vilma</t>
  </si>
  <si>
    <t>Decore</t>
  </si>
  <si>
    <t>sr. Miguel</t>
  </si>
  <si>
    <t>Calçados estiloso</t>
  </si>
  <si>
    <t>DIRPF (Simplificada)</t>
  </si>
  <si>
    <t>sr Luiz/ sr José</t>
  </si>
  <si>
    <t>sra Simone</t>
  </si>
  <si>
    <t>sr. Roberto</t>
  </si>
  <si>
    <t>sra. Lúcia/sr. Onésimo</t>
  </si>
  <si>
    <t>sr Leonardo/ sra Sabrine</t>
  </si>
  <si>
    <t>Sara/Angela</t>
  </si>
  <si>
    <t>sr Edmilson/sr Mateus</t>
  </si>
  <si>
    <t>sra. Luisa/ sra. Oto</t>
  </si>
  <si>
    <t>sra. Maria Lourdes/ sr. Tanaka</t>
  </si>
  <si>
    <t>sra. Aparecida/sr. Marcelo</t>
  </si>
  <si>
    <t>sr. Diogo/sr Fernando</t>
  </si>
  <si>
    <t>sr Ricardo/sra. Cheiene</t>
  </si>
  <si>
    <t xml:space="preserve">Consultoria  MEI </t>
  </si>
  <si>
    <t>Lojinha do Presente</t>
  </si>
  <si>
    <t>Pad. Pão Gostoos</t>
  </si>
  <si>
    <t>Consult Dentista</t>
  </si>
  <si>
    <t>Pad. Pão Gostoso</t>
  </si>
  <si>
    <t>Consultório Dentista</t>
  </si>
  <si>
    <t>sra. Dulce</t>
  </si>
  <si>
    <t>sra Milton - Ava Periféricos</t>
  </si>
  <si>
    <t>Sr. Maurício</t>
  </si>
  <si>
    <t xml:space="preserve"> Declaração Anual (DASN-SIMEI)</t>
  </si>
  <si>
    <t>DESP. FIXA</t>
  </si>
  <si>
    <t>DESP. VARIÁVEL</t>
  </si>
  <si>
    <t>Taxa Bombeiros - CLCB</t>
  </si>
  <si>
    <t xml:space="preserve">DECORE </t>
  </si>
  <si>
    <t>Pagto 02/15</t>
  </si>
  <si>
    <t>Pagto 02/18</t>
  </si>
  <si>
    <t>Pagto 03/15</t>
  </si>
  <si>
    <t>Pagto 03/18</t>
  </si>
  <si>
    <t>Pagto 04/15</t>
  </si>
  <si>
    <t>Pagto 04/18</t>
  </si>
  <si>
    <t>Pagto 05/15</t>
  </si>
  <si>
    <t>Pagto 05/18</t>
  </si>
  <si>
    <t>Pagto 06/15</t>
  </si>
  <si>
    <t>Pagto 06/18</t>
  </si>
  <si>
    <t>pgto Extintores</t>
  </si>
  <si>
    <t>Taxa Municipal</t>
  </si>
  <si>
    <t>pgto Combustível</t>
  </si>
  <si>
    <t>pgto Empreiteira</t>
  </si>
  <si>
    <t>MEI (Comércio/Serviço)(2)</t>
  </si>
  <si>
    <t>DIRPF (Simplificada)(2)</t>
  </si>
  <si>
    <t>Consultoria MEI (2)</t>
  </si>
  <si>
    <t>Declaração Anual (DASN-SIMEI)(2)</t>
  </si>
  <si>
    <t>Declaração Anual (DASN-SIMEI)(6)</t>
  </si>
  <si>
    <t>Declaração Anual (DASN-SIMEI)(4)</t>
  </si>
  <si>
    <t>PARC 15X</t>
  </si>
  <si>
    <t>PARC 18X</t>
  </si>
  <si>
    <t xml:space="preserve">06 Jan. </t>
  </si>
  <si>
    <t xml:space="preserve">06 Mar. </t>
  </si>
  <si>
    <t>adm. 09/01/2025</t>
  </si>
  <si>
    <t>adm. 20/01/2025</t>
  </si>
  <si>
    <t>2X por semana - 4h/dia</t>
  </si>
  <si>
    <t>200h/mês - 40h semanais</t>
  </si>
  <si>
    <t>Auxiliar de Serviços Gerais</t>
  </si>
  <si>
    <t>Salário Bruto</t>
  </si>
  <si>
    <t>FGTS 8%</t>
  </si>
  <si>
    <t>Prov Férias + 1/3</t>
  </si>
  <si>
    <t>Prov 13º Salário</t>
  </si>
  <si>
    <t>VT Empresa</t>
  </si>
  <si>
    <t>8 dias</t>
  </si>
  <si>
    <t>Total:</t>
  </si>
  <si>
    <t>7 dias</t>
  </si>
  <si>
    <t xml:space="preserve">Custo Total 1º Trimestre: </t>
  </si>
  <si>
    <t>9 dias</t>
  </si>
  <si>
    <t>18 dias</t>
  </si>
  <si>
    <t>20 dias</t>
  </si>
  <si>
    <r>
      <t xml:space="preserve">Folha Mês de </t>
    </r>
    <r>
      <rPr>
        <b/>
        <sz val="16"/>
        <color rgb="FFFF0000"/>
        <rFont val="Calibri"/>
        <family val="2"/>
        <scheme val="minor"/>
      </rPr>
      <t>Janeiro</t>
    </r>
  </si>
  <si>
    <r>
      <t xml:space="preserve">Folha Mês de </t>
    </r>
    <r>
      <rPr>
        <b/>
        <sz val="16"/>
        <color rgb="FFFF0000"/>
        <rFont val="Calibri"/>
        <family val="2"/>
        <scheme val="minor"/>
      </rPr>
      <t>Fevereiro</t>
    </r>
  </si>
  <si>
    <r>
      <t xml:space="preserve">Folha Mês de </t>
    </r>
    <r>
      <rPr>
        <b/>
        <sz val="16"/>
        <color rgb="FFFF0000"/>
        <rFont val="Calibri"/>
        <family val="2"/>
        <scheme val="minor"/>
      </rPr>
      <t>Março</t>
    </r>
  </si>
  <si>
    <r>
      <t xml:space="preserve">Folha Mês de </t>
    </r>
    <r>
      <rPr>
        <b/>
        <sz val="16"/>
        <color rgb="FFFF0000"/>
        <rFont val="Calibri"/>
        <family val="2"/>
        <scheme val="minor"/>
      </rPr>
      <t>Abril</t>
    </r>
  </si>
  <si>
    <r>
      <t xml:space="preserve">Folha Mês de </t>
    </r>
    <r>
      <rPr>
        <b/>
        <sz val="16"/>
        <color rgb="FFFF0000"/>
        <rFont val="Calibri"/>
        <family val="2"/>
        <scheme val="minor"/>
      </rPr>
      <t>Maio</t>
    </r>
  </si>
  <si>
    <r>
      <t xml:space="preserve">Folha Mês de </t>
    </r>
    <r>
      <rPr>
        <b/>
        <sz val="16"/>
        <color rgb="FFFF0000"/>
        <rFont val="Calibri"/>
        <family val="2"/>
        <scheme val="minor"/>
      </rPr>
      <t>Junho</t>
    </r>
  </si>
  <si>
    <t xml:space="preserve">Custo Total 2º Trimestre: </t>
  </si>
  <si>
    <t>1º Trimestre</t>
  </si>
  <si>
    <t>2º Trimestre</t>
  </si>
  <si>
    <t>INSS</t>
  </si>
  <si>
    <t>provisão</t>
  </si>
  <si>
    <t>INSS 7,5%</t>
  </si>
  <si>
    <t>INSS 9%</t>
  </si>
  <si>
    <t>VT</t>
  </si>
  <si>
    <t>Vr. Líquido</t>
  </si>
  <si>
    <t>10 dias</t>
  </si>
  <si>
    <t>Vale TRansporte</t>
  </si>
  <si>
    <t>Valor Líquido</t>
  </si>
  <si>
    <t>19 dias</t>
  </si>
  <si>
    <t>pgto INSS</t>
  </si>
  <si>
    <t>ptovisões</t>
  </si>
  <si>
    <t>provisão trab.</t>
  </si>
  <si>
    <t>provisões trab.</t>
  </si>
  <si>
    <t xml:space="preserve">INSS </t>
  </si>
  <si>
    <t>compra mensal</t>
  </si>
  <si>
    <t>VR func adm. 09/01</t>
  </si>
  <si>
    <t xml:space="preserve">01 Abr. </t>
  </si>
  <si>
    <t xml:space="preserve">03 Fev. </t>
  </si>
  <si>
    <t>05 Mai.</t>
  </si>
  <si>
    <t xml:space="preserve">02 Jun. </t>
  </si>
  <si>
    <t>Tabelade Serviços 2025</t>
  </si>
  <si>
    <t>DECORE (Decl. de Percepção de Rend.)</t>
  </si>
  <si>
    <t>R$150,00-R$450,00 por emissão (atrelado ao valor da renda declarada).</t>
  </si>
  <si>
    <t>Assistente Administrativo</t>
  </si>
  <si>
    <t>Semestral</t>
  </si>
  <si>
    <t>Bienal</t>
  </si>
  <si>
    <t>Extintores/Equip. Segurança</t>
  </si>
  <si>
    <t>Copa/Limpeza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</si>
</sst>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\ * #,##0.00_-;\-&quot;R$&quot;\ * #,##0.00_-;_-&quot;R$&quot;\ * &quot;-&quot;??_-;_-@"/>
    <numFmt numFmtId="165" formatCode="_-[$R$-416]\ * #,##0.00_-;\-[$R$-416]\ * #,##0.00_-;_-[$R$-416]\ * &quot;-&quot;??_-;_-@"/>
    <numFmt numFmtId="166" formatCode="_(&quot;R$&quot;* #,##0.00_);_(&quot;R$&quot;* \(#,##0.00\);_(&quot;R$&quot;* &quot;-&quot;??_);_(@_)"/>
  </numFmts>
  <fonts count="4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rgb="FF262626"/>
      <name val="Calibri"/>
      <family val="2"/>
    </font>
    <font>
      <b/>
      <sz val="11"/>
      <color rgb="FF002060"/>
      <name val="Calibri"/>
      <family val="2"/>
    </font>
    <font>
      <sz val="11"/>
      <color theme="0"/>
      <name val="Calibri"/>
      <family val="2"/>
    </font>
    <font>
      <sz val="20"/>
      <color theme="0"/>
      <name val="Open Sans"/>
      <family val="2"/>
    </font>
    <font>
      <sz val="18"/>
      <color theme="1"/>
      <name val="Calibri"/>
      <family val="2"/>
    </font>
    <font>
      <sz val="16"/>
      <color theme="1"/>
      <name val="Calibri"/>
      <family val="2"/>
    </font>
    <font>
      <sz val="16"/>
      <color rgb="FFFF0000"/>
      <name val="Calibri"/>
      <family val="2"/>
    </font>
    <font>
      <sz val="22"/>
      <color theme="1"/>
      <name val="Arial"/>
      <family val="2"/>
    </font>
    <font>
      <sz val="20"/>
      <color theme="0"/>
      <name val="Open Sans"/>
      <family val="2"/>
    </font>
    <font>
      <sz val="8"/>
      <name val="Calibri"/>
      <family val="2"/>
      <scheme val="minor"/>
    </font>
    <font>
      <b/>
      <sz val="20"/>
      <color rgb="FF002060"/>
      <name val="Calibri"/>
      <family val="2"/>
    </font>
    <font>
      <b/>
      <sz val="20"/>
      <color rgb="FFFF0000"/>
      <name val="Calibri"/>
      <family val="2"/>
    </font>
    <font>
      <sz val="11"/>
      <color rgb="FF002060"/>
      <name val="Calibri"/>
      <family val="2"/>
    </font>
    <font>
      <sz val="14"/>
      <color theme="1"/>
      <name val="Calibri"/>
      <family val="2"/>
      <scheme val="minor"/>
    </font>
    <font>
      <sz val="16"/>
      <color theme="1"/>
      <name val="Calibri"/>
      <family val="2"/>
    </font>
    <font>
      <sz val="18"/>
      <color theme="1"/>
      <name val="Calibri"/>
      <family val="2"/>
      <scheme val="minor"/>
    </font>
    <font>
      <sz val="11"/>
      <color rgb="FF262626"/>
      <name val="Calibri"/>
      <family val="2"/>
    </font>
    <font>
      <sz val="11"/>
      <color theme="1"/>
      <name val="Calibri"/>
      <scheme val="minor"/>
    </font>
    <font>
      <b/>
      <sz val="16"/>
      <color theme="1"/>
      <name val="Calibri"/>
      <family val="2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6"/>
      <color theme="0"/>
      <name val="Arial"/>
      <family val="2"/>
    </font>
    <font>
      <sz val="16"/>
      <color theme="0"/>
      <name val="Arial"/>
      <family val="2"/>
    </font>
    <font>
      <b/>
      <sz val="20"/>
      <color rgb="FF002060"/>
      <name val="Arial"/>
      <family val="2"/>
    </font>
    <font>
      <b/>
      <sz val="16"/>
      <name val="Calibri"/>
      <family val="2"/>
    </font>
    <font>
      <sz val="16"/>
      <name val="Calibri"/>
      <family val="2"/>
    </font>
    <font>
      <sz val="16"/>
      <color rgb="FFFFFFFF"/>
      <name val="Calibri"/>
      <family val="2"/>
    </font>
    <font>
      <sz val="16"/>
      <color theme="1"/>
      <name val="Arial"/>
      <family val="2"/>
    </font>
    <font>
      <sz val="16"/>
      <color rgb="FF000000"/>
      <name val="Arial"/>
      <family val="2"/>
    </font>
    <font>
      <b/>
      <sz val="10"/>
      <color rgb="FF002060"/>
      <name val="Calibri"/>
      <family val="2"/>
      <scheme val="minor"/>
    </font>
    <font>
      <b/>
      <sz val="10"/>
      <color theme="0"/>
      <name val="Calibri"/>
      <family val="2"/>
    </font>
    <font>
      <b/>
      <sz val="10"/>
      <color theme="7" tint="0.79998168889431442"/>
      <name val="Calibri"/>
      <family val="2"/>
    </font>
    <font>
      <b/>
      <sz val="10"/>
      <color theme="0" tint="-0.499984740745262"/>
      <name val="Calibri"/>
      <family val="2"/>
    </font>
    <font>
      <sz val="10"/>
      <color theme="1"/>
      <name val="Calibri"/>
      <family val="2"/>
    </font>
    <font>
      <b/>
      <sz val="10"/>
      <color rgb="FF002060"/>
      <name val="Calibri"/>
      <family val="2"/>
    </font>
    <font>
      <sz val="10"/>
      <color theme="1"/>
      <name val="Calibri"/>
      <family val="2"/>
      <scheme val="minor"/>
    </font>
    <font>
      <sz val="10"/>
      <color theme="0"/>
      <name val="Calibri"/>
      <family val="2"/>
    </font>
    <font>
      <sz val="1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3F3F3F"/>
        <bgColor rgb="FF3F3F3F"/>
      </patternFill>
    </fill>
    <fill>
      <patternFill patternType="solid">
        <fgColor rgb="FFC00000"/>
        <bgColor rgb="FFC00000"/>
      </patternFill>
    </fill>
    <fill>
      <patternFill patternType="solid">
        <fgColor rgb="FFFFCC66"/>
        <bgColor rgb="FFFFCC66"/>
      </patternFill>
    </fill>
    <fill>
      <patternFill patternType="solid">
        <fgColor rgb="FF174D24"/>
        <bgColor rgb="FF174D24"/>
      </patternFill>
    </fill>
    <fill>
      <patternFill patternType="solid">
        <fgColor rgb="FFFF7C80"/>
        <bgColor rgb="FFFF7C80"/>
      </patternFill>
    </fill>
    <fill>
      <patternFill patternType="solid">
        <fgColor rgb="FFFF9966"/>
        <bgColor rgb="FFFF9966"/>
      </patternFill>
    </fill>
    <fill>
      <patternFill patternType="solid">
        <fgColor rgb="FF99FF66"/>
        <bgColor rgb="FF99FF66"/>
      </patternFill>
    </fill>
    <fill>
      <patternFill patternType="solid">
        <fgColor rgb="FFF2F2F2"/>
        <bgColor rgb="FFF2F2F2"/>
      </patternFill>
    </fill>
    <fill>
      <patternFill patternType="solid">
        <fgColor rgb="FFC3EBD5"/>
        <bgColor rgb="FFC3EBD5"/>
      </patternFill>
    </fill>
    <fill>
      <patternFill patternType="solid">
        <fgColor rgb="FFC55A11"/>
        <bgColor rgb="FFC55A11"/>
      </patternFill>
    </fill>
    <fill>
      <patternFill patternType="solid">
        <fgColor rgb="FF0070C0"/>
        <bgColor rgb="FF0070C0"/>
      </patternFill>
    </fill>
    <fill>
      <patternFill patternType="solid">
        <fgColor rgb="FFFFFF00"/>
        <bgColor rgb="FFFFFF00"/>
      </patternFill>
    </fill>
    <fill>
      <patternFill patternType="solid">
        <fgColor rgb="FF2F5496"/>
        <bgColor rgb="FF2F5496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-0.249977111117893"/>
        <bgColor rgb="FF8496B0"/>
      </patternFill>
    </fill>
    <fill>
      <patternFill patternType="solid">
        <fgColor theme="4" tint="-0.249977111117893"/>
        <bgColor rgb="FFBF9000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499984740745262"/>
        <bgColor rgb="FF2F5496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 tint="-0.499984740745262"/>
        <bgColor rgb="FF8496B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E2EFD9"/>
      </patternFill>
    </fill>
    <fill>
      <patternFill patternType="solid">
        <fgColor rgb="FFFFFF00"/>
        <bgColor rgb="FFC3EBD5"/>
      </patternFill>
    </fill>
    <fill>
      <patternFill patternType="solid">
        <fgColor rgb="FF00B050"/>
        <bgColor rgb="FFC3EBD5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5911"/>
        <bgColor indexed="64"/>
      </patternFill>
    </fill>
  </fills>
  <borders count="34">
    <border>
      <left/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/>
      <right/>
      <top/>
      <bottom style="thin">
        <color rgb="FF000000"/>
      </bottom>
      <diagonal/>
    </border>
    <border>
      <left style="thin">
        <color rgb="FF595959"/>
      </left>
      <right/>
      <top style="thin">
        <color rgb="FF595959"/>
      </top>
      <bottom style="thin">
        <color rgb="FF595959"/>
      </bottom>
      <diagonal/>
    </border>
    <border>
      <left/>
      <right/>
      <top style="thin">
        <color rgb="FF595959"/>
      </top>
      <bottom style="thin">
        <color rgb="FF59595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595959"/>
      </top>
      <bottom style="thin">
        <color rgb="FF595959"/>
      </bottom>
      <diagonal/>
    </border>
    <border>
      <left style="thin">
        <color indexed="64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indexed="64"/>
      </left>
      <right style="thin">
        <color rgb="FF595959"/>
      </right>
      <top style="thin">
        <color rgb="FF595959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rgb="FF595959"/>
      </right>
      <top/>
      <bottom/>
      <diagonal/>
    </border>
    <border>
      <left/>
      <right style="thin">
        <color indexed="64"/>
      </right>
      <top style="thin">
        <color rgb="FF595959"/>
      </top>
      <bottom style="thin">
        <color rgb="FF595959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2">
    <xf numFmtId="0" fontId="0" fillId="0" borderId="0"/>
    <xf numFmtId="44" fontId="24" fillId="0" borderId="0" applyFont="0" applyFill="0" applyBorder="0" applyAlignment="0" applyProtection="0"/>
  </cellStyleXfs>
  <cellXfs count="17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/>
    <xf numFmtId="0" fontId="4" fillId="0" borderId="0" xfId="0" applyFont="1"/>
    <xf numFmtId="164" fontId="4" fillId="0" borderId="0" xfId="0" applyNumberFormat="1" applyFont="1"/>
    <xf numFmtId="0" fontId="5" fillId="0" borderId="2" xfId="0" applyFont="1" applyBorder="1"/>
    <xf numFmtId="0" fontId="5" fillId="3" borderId="5" xfId="0" applyFont="1" applyFill="1" applyBorder="1"/>
    <xf numFmtId="164" fontId="7" fillId="0" borderId="1" xfId="0" applyNumberFormat="1" applyFont="1" applyBorder="1" applyAlignment="1">
      <alignment horizontal="center" vertical="center"/>
    </xf>
    <xf numFmtId="0" fontId="5" fillId="0" borderId="5" xfId="0" applyFont="1" applyBorder="1"/>
    <xf numFmtId="1" fontId="8" fillId="0" borderId="5" xfId="0" applyNumberFormat="1" applyFont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165" fontId="3" fillId="5" borderId="1" xfId="0" applyNumberFormat="1" applyFont="1" applyFill="1" applyBorder="1" applyAlignment="1">
      <alignment horizontal="center" vertical="center"/>
    </xf>
    <xf numFmtId="0" fontId="5" fillId="0" borderId="6" xfId="0" applyFont="1" applyBorder="1"/>
    <xf numFmtId="0" fontId="7" fillId="0" borderId="1" xfId="0" applyFont="1" applyBorder="1" applyAlignment="1">
      <alignment horizontal="center" vertical="center"/>
    </xf>
    <xf numFmtId="0" fontId="8" fillId="0" borderId="5" xfId="0" applyFont="1" applyBorder="1" applyAlignment="1">
      <alignment horizontal="center"/>
    </xf>
    <xf numFmtId="165" fontId="4" fillId="6" borderId="1" xfId="0" applyNumberFormat="1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165" fontId="4" fillId="7" borderId="1" xfId="0" applyNumberFormat="1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center" vertical="center"/>
    </xf>
    <xf numFmtId="165" fontId="4" fillId="10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4" fontId="5" fillId="0" borderId="0" xfId="0" applyNumberFormat="1" applyFont="1"/>
    <xf numFmtId="0" fontId="9" fillId="0" borderId="0" xfId="0" applyFont="1"/>
    <xf numFmtId="0" fontId="11" fillId="13" borderId="5" xfId="0" applyFont="1" applyFill="1" applyBorder="1"/>
    <xf numFmtId="164" fontId="11" fillId="13" borderId="5" xfId="0" applyNumberFormat="1" applyFont="1" applyFill="1" applyBorder="1"/>
    <xf numFmtId="164" fontId="11" fillId="6" borderId="5" xfId="0" applyNumberFormat="1" applyFont="1" applyFill="1" applyBorder="1"/>
    <xf numFmtId="164" fontId="11" fillId="13" borderId="5" xfId="0" applyNumberFormat="1" applyFont="1" applyFill="1" applyBorder="1" applyAlignment="1">
      <alignment horizontal="center"/>
    </xf>
    <xf numFmtId="1" fontId="12" fillId="0" borderId="5" xfId="0" applyNumberFormat="1" applyFont="1" applyBorder="1" applyAlignment="1">
      <alignment horizontal="center"/>
    </xf>
    <xf numFmtId="0" fontId="12" fillId="0" borderId="5" xfId="0" applyFont="1" applyBorder="1"/>
    <xf numFmtId="164" fontId="12" fillId="0" borderId="5" xfId="0" applyNumberFormat="1" applyFont="1" applyBorder="1"/>
    <xf numFmtId="0" fontId="12" fillId="0" borderId="5" xfId="0" applyFont="1" applyBorder="1" applyAlignment="1">
      <alignment horizontal="left"/>
    </xf>
    <xf numFmtId="164" fontId="13" fillId="0" borderId="5" xfId="0" applyNumberFormat="1" applyFont="1" applyBorder="1"/>
    <xf numFmtId="0" fontId="12" fillId="0" borderId="0" xfId="0" applyFont="1"/>
    <xf numFmtId="164" fontId="12" fillId="0" borderId="5" xfId="0" applyNumberFormat="1" applyFont="1" applyBorder="1" applyAlignment="1">
      <alignment horizontal="left"/>
    </xf>
    <xf numFmtId="166" fontId="9" fillId="0" borderId="0" xfId="0" applyNumberFormat="1" applyFont="1"/>
    <xf numFmtId="164" fontId="12" fillId="0" borderId="5" xfId="0" applyNumberFormat="1" applyFont="1" applyBorder="1" applyAlignment="1">
      <alignment horizontal="left" vertical="center"/>
    </xf>
    <xf numFmtId="164" fontId="12" fillId="0" borderId="5" xfId="0" applyNumberFormat="1" applyFont="1" applyBorder="1" applyAlignment="1">
      <alignment horizontal="left" vertical="top"/>
    </xf>
    <xf numFmtId="0" fontId="12" fillId="0" borderId="17" xfId="0" applyFont="1" applyBorder="1" applyAlignment="1">
      <alignment horizontal="left"/>
    </xf>
    <xf numFmtId="44" fontId="0" fillId="0" borderId="0" xfId="0" applyNumberFormat="1"/>
    <xf numFmtId="164" fontId="17" fillId="0" borderId="0" xfId="0" applyNumberFormat="1" applyFont="1"/>
    <xf numFmtId="164" fontId="18" fillId="0" borderId="0" xfId="0" applyNumberFormat="1" applyFont="1"/>
    <xf numFmtId="164" fontId="19" fillId="0" borderId="0" xfId="0" applyNumberFormat="1" applyFont="1"/>
    <xf numFmtId="0" fontId="12" fillId="0" borderId="21" xfId="0" applyFont="1" applyBorder="1"/>
    <xf numFmtId="164" fontId="20" fillId="0" borderId="0" xfId="0" applyNumberFormat="1" applyFont="1"/>
    <xf numFmtId="0" fontId="21" fillId="0" borderId="5" xfId="0" applyFont="1" applyBorder="1"/>
    <xf numFmtId="164" fontId="21" fillId="0" borderId="5" xfId="0" applyNumberFormat="1" applyFont="1" applyBorder="1" applyAlignment="1">
      <alignment horizontal="left"/>
    </xf>
    <xf numFmtId="164" fontId="21" fillId="0" borderId="5" xfId="0" applyNumberFormat="1" applyFont="1" applyBorder="1"/>
    <xf numFmtId="0" fontId="21" fillId="0" borderId="5" xfId="0" applyFont="1" applyBorder="1" applyAlignment="1">
      <alignment horizontal="left"/>
    </xf>
    <xf numFmtId="0" fontId="0" fillId="0" borderId="21" xfId="0" applyBorder="1"/>
    <xf numFmtId="1" fontId="12" fillId="24" borderId="5" xfId="0" applyNumberFormat="1" applyFont="1" applyFill="1" applyBorder="1" applyAlignment="1">
      <alignment horizontal="center"/>
    </xf>
    <xf numFmtId="164" fontId="12" fillId="25" borderId="5" xfId="0" applyNumberFormat="1" applyFont="1" applyFill="1" applyBorder="1"/>
    <xf numFmtId="1" fontId="12" fillId="25" borderId="5" xfId="0" applyNumberFormat="1" applyFont="1" applyFill="1" applyBorder="1" applyAlignment="1">
      <alignment horizontal="center"/>
    </xf>
    <xf numFmtId="164" fontId="12" fillId="26" borderId="5" xfId="0" applyNumberFormat="1" applyFont="1" applyFill="1" applyBorder="1" applyAlignment="1">
      <alignment horizontal="left" vertical="top"/>
    </xf>
    <xf numFmtId="164" fontId="12" fillId="25" borderId="5" xfId="0" applyNumberFormat="1" applyFont="1" applyFill="1" applyBorder="1" applyAlignment="1">
      <alignment horizontal="left" vertical="center"/>
    </xf>
    <xf numFmtId="0" fontId="12" fillId="25" borderId="5" xfId="0" applyFont="1" applyFill="1" applyBorder="1" applyAlignment="1">
      <alignment horizontal="left"/>
    </xf>
    <xf numFmtId="0" fontId="22" fillId="0" borderId="0" xfId="0" applyFont="1"/>
    <xf numFmtId="0" fontId="21" fillId="25" borderId="5" xfId="0" applyFont="1" applyFill="1" applyBorder="1" applyAlignment="1">
      <alignment horizontal="left"/>
    </xf>
    <xf numFmtId="164" fontId="21" fillId="25" borderId="5" xfId="0" applyNumberFormat="1" applyFont="1" applyFill="1" applyBorder="1"/>
    <xf numFmtId="0" fontId="21" fillId="25" borderId="5" xfId="0" applyFont="1" applyFill="1" applyBorder="1"/>
    <xf numFmtId="164" fontId="21" fillId="0" borderId="22" xfId="0" applyNumberFormat="1" applyFont="1" applyBorder="1" applyAlignment="1">
      <alignment horizontal="left"/>
    </xf>
    <xf numFmtId="164" fontId="21" fillId="0" borderId="5" xfId="0" applyNumberFormat="1" applyFont="1" applyBorder="1" applyAlignment="1">
      <alignment horizontal="left" vertical="center"/>
    </xf>
    <xf numFmtId="0" fontId="21" fillId="0" borderId="17" xfId="0" applyFont="1" applyBorder="1" applyAlignment="1">
      <alignment horizontal="left"/>
    </xf>
    <xf numFmtId="0" fontId="12" fillId="26" borderId="17" xfId="0" applyFont="1" applyFill="1" applyBorder="1" applyAlignment="1">
      <alignment horizontal="left"/>
    </xf>
    <xf numFmtId="0" fontId="21" fillId="26" borderId="17" xfId="0" applyFont="1" applyFill="1" applyBorder="1" applyAlignment="1">
      <alignment horizontal="left"/>
    </xf>
    <xf numFmtId="0" fontId="21" fillId="26" borderId="16" xfId="0" applyFont="1" applyFill="1" applyBorder="1" applyAlignment="1">
      <alignment horizontal="left"/>
    </xf>
    <xf numFmtId="164" fontId="21" fillId="25" borderId="5" xfId="0" applyNumberFormat="1" applyFont="1" applyFill="1" applyBorder="1" applyAlignment="1">
      <alignment horizontal="left"/>
    </xf>
    <xf numFmtId="164" fontId="23" fillId="0" borderId="1" xfId="0" applyNumberFormat="1" applyFont="1" applyBorder="1" applyAlignment="1">
      <alignment horizontal="center" vertical="center"/>
    </xf>
    <xf numFmtId="44" fontId="7" fillId="0" borderId="1" xfId="1" applyFont="1" applyBorder="1" applyAlignment="1">
      <alignment horizontal="center" vertical="center"/>
    </xf>
    <xf numFmtId="165" fontId="4" fillId="27" borderId="1" xfId="0" applyNumberFormat="1" applyFont="1" applyFill="1" applyBorder="1" applyAlignment="1">
      <alignment horizontal="center" vertical="center"/>
    </xf>
    <xf numFmtId="165" fontId="4" fillId="28" borderId="1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right"/>
    </xf>
    <xf numFmtId="0" fontId="0" fillId="0" borderId="10" xfId="0" applyBorder="1"/>
    <xf numFmtId="0" fontId="11" fillId="13" borderId="23" xfId="0" applyFont="1" applyFill="1" applyBorder="1"/>
    <xf numFmtId="164" fontId="11" fillId="13" borderId="23" xfId="0" applyNumberFormat="1" applyFont="1" applyFill="1" applyBorder="1"/>
    <xf numFmtId="164" fontId="11" fillId="6" borderId="23" xfId="0" applyNumberFormat="1" applyFont="1" applyFill="1" applyBorder="1"/>
    <xf numFmtId="164" fontId="11" fillId="13" borderId="23" xfId="0" applyNumberFormat="1" applyFont="1" applyFill="1" applyBorder="1" applyAlignment="1">
      <alignment horizontal="center"/>
    </xf>
    <xf numFmtId="0" fontId="0" fillId="29" borderId="0" xfId="0" applyFill="1"/>
    <xf numFmtId="1" fontId="25" fillId="30" borderId="5" xfId="0" applyNumberFormat="1" applyFont="1" applyFill="1" applyBorder="1" applyAlignment="1">
      <alignment horizontal="center"/>
    </xf>
    <xf numFmtId="0" fontId="4" fillId="0" borderId="25" xfId="0" applyFont="1" applyBorder="1"/>
    <xf numFmtId="0" fontId="5" fillId="0" borderId="25" xfId="0" applyFont="1" applyBorder="1" applyAlignment="1">
      <alignment horizontal="left" vertical="center"/>
    </xf>
    <xf numFmtId="0" fontId="5" fillId="0" borderId="26" xfId="0" applyFont="1" applyBorder="1"/>
    <xf numFmtId="0" fontId="1" fillId="0" borderId="27" xfId="0" applyFont="1" applyBorder="1"/>
    <xf numFmtId="0" fontId="7" fillId="0" borderId="25" xfId="0" applyFont="1" applyBorder="1" applyAlignment="1">
      <alignment horizontal="left" vertical="center"/>
    </xf>
    <xf numFmtId="0" fontId="3" fillId="5" borderId="25" xfId="0" applyFont="1" applyFill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28" xfId="0" applyFont="1" applyBorder="1" applyAlignment="1">
      <alignment horizontal="left" vertical="center"/>
    </xf>
    <xf numFmtId="0" fontId="4" fillId="0" borderId="25" xfId="0" applyFont="1" applyBorder="1" applyAlignment="1">
      <alignment vertical="center"/>
    </xf>
    <xf numFmtId="0" fontId="4" fillId="6" borderId="25" xfId="0" applyFont="1" applyFill="1" applyBorder="1" applyAlignment="1">
      <alignment horizontal="center" vertical="center"/>
    </xf>
    <xf numFmtId="0" fontId="0" fillId="0" borderId="27" xfId="0" applyBorder="1"/>
    <xf numFmtId="0" fontId="4" fillId="7" borderId="25" xfId="0" applyFont="1" applyFill="1" applyBorder="1" applyAlignment="1">
      <alignment horizontal="center" vertical="center"/>
    </xf>
    <xf numFmtId="0" fontId="4" fillId="0" borderId="24" xfId="0" applyFont="1" applyBorder="1"/>
    <xf numFmtId="164" fontId="4" fillId="0" borderId="29" xfId="0" applyNumberFormat="1" applyFont="1" applyBorder="1"/>
    <xf numFmtId="0" fontId="26" fillId="0" borderId="0" xfId="0" applyFont="1"/>
    <xf numFmtId="0" fontId="27" fillId="0" borderId="0" xfId="0" applyFont="1"/>
    <xf numFmtId="43" fontId="26" fillId="0" borderId="0" xfId="1" applyNumberFormat="1" applyFont="1"/>
    <xf numFmtId="43" fontId="26" fillId="0" borderId="0" xfId="0" applyNumberFormat="1" applyFont="1"/>
    <xf numFmtId="0" fontId="29" fillId="0" borderId="0" xfId="0" applyFont="1"/>
    <xf numFmtId="0" fontId="26" fillId="31" borderId="0" xfId="0" applyFont="1" applyFill="1"/>
    <xf numFmtId="43" fontId="26" fillId="31" borderId="0" xfId="1" applyNumberFormat="1" applyFont="1" applyFill="1"/>
    <xf numFmtId="0" fontId="27" fillId="32" borderId="0" xfId="0" applyFont="1" applyFill="1"/>
    <xf numFmtId="43" fontId="27" fillId="32" borderId="0" xfId="1" applyNumberFormat="1" applyFont="1" applyFill="1"/>
    <xf numFmtId="43" fontId="27" fillId="32" borderId="0" xfId="0" applyNumberFormat="1" applyFont="1" applyFill="1"/>
    <xf numFmtId="0" fontId="26" fillId="32" borderId="0" xfId="0" applyFont="1" applyFill="1"/>
    <xf numFmtId="0" fontId="30" fillId="0" borderId="0" xfId="0" applyFont="1"/>
    <xf numFmtId="0" fontId="31" fillId="0" borderId="0" xfId="0" applyFont="1"/>
    <xf numFmtId="43" fontId="30" fillId="0" borderId="0" xfId="0" applyNumberFormat="1" applyFont="1"/>
    <xf numFmtId="166" fontId="0" fillId="0" borderId="0" xfId="0" applyNumberFormat="1"/>
    <xf numFmtId="43" fontId="29" fillId="0" borderId="0" xfId="1" applyNumberFormat="1" applyFont="1"/>
    <xf numFmtId="43" fontId="29" fillId="0" borderId="0" xfId="0" applyNumberFormat="1" applyFont="1"/>
    <xf numFmtId="0" fontId="32" fillId="33" borderId="0" xfId="0" applyFont="1" applyFill="1" applyAlignment="1">
      <alignment vertical="center"/>
    </xf>
    <xf numFmtId="0" fontId="33" fillId="33" borderId="0" xfId="0" applyFont="1" applyFill="1" applyAlignment="1">
      <alignment vertical="center"/>
    </xf>
    <xf numFmtId="43" fontId="32" fillId="33" borderId="0" xfId="0" applyNumberFormat="1" applyFont="1" applyFill="1" applyAlignment="1">
      <alignment vertical="center"/>
    </xf>
    <xf numFmtId="1" fontId="35" fillId="0" borderId="5" xfId="0" applyNumberFormat="1" applyFont="1" applyBorder="1" applyAlignment="1">
      <alignment horizontal="center"/>
    </xf>
    <xf numFmtId="1" fontId="25" fillId="0" borderId="5" xfId="0" applyNumberFormat="1" applyFont="1" applyBorder="1" applyAlignment="1">
      <alignment horizontal="center"/>
    </xf>
    <xf numFmtId="1" fontId="35" fillId="30" borderId="5" xfId="0" applyNumberFormat="1" applyFont="1" applyFill="1" applyBorder="1" applyAlignment="1">
      <alignment horizontal="center"/>
    </xf>
    <xf numFmtId="0" fontId="37" fillId="0" borderId="0" xfId="0" applyFont="1" applyAlignment="1">
      <alignment vertical="center"/>
    </xf>
    <xf numFmtId="0" fontId="37" fillId="0" borderId="0" xfId="0" applyFont="1" applyAlignment="1">
      <alignment vertical="center" wrapText="1"/>
    </xf>
    <xf numFmtId="0" fontId="38" fillId="0" borderId="0" xfId="0" applyFont="1" applyAlignment="1">
      <alignment vertical="center"/>
    </xf>
    <xf numFmtId="0" fontId="12" fillId="0" borderId="0" xfId="0" applyFont="1" applyAlignment="1">
      <alignment vertical="center" wrapText="1"/>
    </xf>
    <xf numFmtId="166" fontId="25" fillId="0" borderId="0" xfId="0" applyNumberFormat="1" applyFont="1" applyAlignment="1">
      <alignment vertical="center"/>
    </xf>
    <xf numFmtId="0" fontId="39" fillId="11" borderId="10" xfId="0" applyFont="1" applyFill="1" applyBorder="1"/>
    <xf numFmtId="0" fontId="12" fillId="11" borderId="10" xfId="0" applyFont="1" applyFill="1" applyBorder="1"/>
    <xf numFmtId="166" fontId="12" fillId="11" borderId="10" xfId="0" applyNumberFormat="1" applyFont="1" applyFill="1" applyBorder="1"/>
    <xf numFmtId="0" fontId="39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0" fontId="3" fillId="5" borderId="24" xfId="0" applyFont="1" applyFill="1" applyBorder="1" applyAlignment="1">
      <alignment horizontal="center" vertical="center"/>
    </xf>
    <xf numFmtId="0" fontId="6" fillId="0" borderId="4" xfId="0" applyFont="1" applyBorder="1"/>
    <xf numFmtId="0" fontId="4" fillId="6" borderId="24" xfId="0" applyFont="1" applyFill="1" applyBorder="1" applyAlignment="1">
      <alignment horizontal="center" vertical="center"/>
    </xf>
    <xf numFmtId="0" fontId="4" fillId="7" borderId="24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33" fillId="11" borderId="7" xfId="0" applyFont="1" applyFill="1" applyBorder="1" applyAlignment="1">
      <alignment horizontal="center" vertical="center"/>
    </xf>
    <xf numFmtId="0" fontId="36" fillId="0" borderId="8" xfId="0" applyFont="1" applyBorder="1"/>
    <xf numFmtId="0" fontId="36" fillId="0" borderId="9" xfId="0" applyFont="1" applyBorder="1"/>
    <xf numFmtId="0" fontId="34" fillId="30" borderId="0" xfId="0" applyFont="1" applyFill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49" fontId="10" fillId="12" borderId="10" xfId="0" applyNumberFormat="1" applyFont="1" applyFill="1" applyBorder="1" applyAlignment="1">
      <alignment horizontal="center" vertical="center"/>
    </xf>
    <xf numFmtId="49" fontId="15" fillId="12" borderId="11" xfId="0" applyNumberFormat="1" applyFont="1" applyFill="1" applyBorder="1" applyAlignment="1">
      <alignment horizontal="center" vertical="center"/>
    </xf>
    <xf numFmtId="0" fontId="6" fillId="0" borderId="12" xfId="0" applyFont="1" applyBorder="1"/>
    <xf numFmtId="0" fontId="6" fillId="0" borderId="13" xfId="0" applyFont="1" applyBorder="1"/>
    <xf numFmtId="0" fontId="6" fillId="0" borderId="14" xfId="0" applyFont="1" applyBorder="1"/>
    <xf numFmtId="0" fontId="6" fillId="0" borderId="2" xfId="0" applyFont="1" applyBorder="1"/>
    <xf numFmtId="0" fontId="6" fillId="0" borderId="15" xfId="0" applyFont="1" applyBorder="1"/>
    <xf numFmtId="49" fontId="10" fillId="12" borderId="11" xfId="0" applyNumberFormat="1" applyFont="1" applyFill="1" applyBorder="1" applyAlignment="1">
      <alignment horizontal="center" vertical="center"/>
    </xf>
    <xf numFmtId="0" fontId="41" fillId="21" borderId="18" xfId="0" applyFont="1" applyFill="1" applyBorder="1" applyAlignment="1">
      <alignment horizontal="center" vertical="center"/>
    </xf>
    <xf numFmtId="0" fontId="42" fillId="21" borderId="18" xfId="0" applyFont="1" applyFill="1" applyBorder="1" applyAlignment="1">
      <alignment horizontal="center" vertical="center"/>
    </xf>
    <xf numFmtId="0" fontId="43" fillId="21" borderId="18" xfId="0" applyFont="1" applyFill="1" applyBorder="1" applyAlignment="1">
      <alignment horizontal="center" vertical="center"/>
    </xf>
    <xf numFmtId="0" fontId="41" fillId="18" borderId="19" xfId="0" applyFont="1" applyFill="1" applyBorder="1"/>
    <xf numFmtId="0" fontId="41" fillId="18" borderId="19" xfId="0" applyFont="1" applyFill="1" applyBorder="1" applyAlignment="1">
      <alignment horizontal="center"/>
    </xf>
    <xf numFmtId="0" fontId="41" fillId="19" borderId="19" xfId="0" applyFont="1" applyFill="1" applyBorder="1" applyAlignment="1">
      <alignment horizontal="center"/>
    </xf>
    <xf numFmtId="0" fontId="41" fillId="20" borderId="19" xfId="0" applyFont="1" applyFill="1" applyBorder="1" applyAlignment="1">
      <alignment horizontal="center"/>
    </xf>
    <xf numFmtId="0" fontId="44" fillId="0" borderId="19" xfId="0" applyFont="1" applyBorder="1" applyAlignment="1">
      <alignment horizontal="left" vertical="center"/>
    </xf>
    <xf numFmtId="166" fontId="44" fillId="15" borderId="19" xfId="0" applyNumberFormat="1" applyFont="1" applyFill="1" applyBorder="1"/>
    <xf numFmtId="166" fontId="44" fillId="16" borderId="19" xfId="0" applyNumberFormat="1" applyFont="1" applyFill="1" applyBorder="1"/>
    <xf numFmtId="166" fontId="44" fillId="17" borderId="19" xfId="0" applyNumberFormat="1" applyFont="1" applyFill="1" applyBorder="1"/>
    <xf numFmtId="0" fontId="45" fillId="0" borderId="19" xfId="0" applyFont="1" applyBorder="1" applyAlignment="1">
      <alignment horizontal="center"/>
    </xf>
    <xf numFmtId="0" fontId="44" fillId="0" borderId="19" xfId="0" applyFont="1" applyBorder="1" applyAlignment="1">
      <alignment horizontal="center"/>
    </xf>
    <xf numFmtId="166" fontId="44" fillId="15" borderId="30" xfId="0" applyNumberFormat="1" applyFont="1" applyFill="1" applyBorder="1"/>
    <xf numFmtId="0" fontId="46" fillId="0" borderId="19" xfId="0" applyFont="1" applyBorder="1"/>
    <xf numFmtId="0" fontId="46" fillId="0" borderId="30" xfId="0" applyFont="1" applyBorder="1"/>
    <xf numFmtId="0" fontId="46" fillId="0" borderId="0" xfId="0" applyFont="1"/>
    <xf numFmtId="166" fontId="44" fillId="0" borderId="0" xfId="0" applyNumberFormat="1" applyFont="1"/>
    <xf numFmtId="166" fontId="47" fillId="18" borderId="19" xfId="0" applyNumberFormat="1" applyFont="1" applyFill="1" applyBorder="1"/>
    <xf numFmtId="166" fontId="47" fillId="19" borderId="19" xfId="0" applyNumberFormat="1" applyFont="1" applyFill="1" applyBorder="1"/>
    <xf numFmtId="166" fontId="47" fillId="23" borderId="19" xfId="0" applyNumberFormat="1" applyFont="1" applyFill="1" applyBorder="1"/>
    <xf numFmtId="17" fontId="44" fillId="0" borderId="19" xfId="0" applyNumberFormat="1" applyFont="1" applyBorder="1" applyAlignment="1">
      <alignment horizontal="center"/>
    </xf>
    <xf numFmtId="0" fontId="48" fillId="0" borderId="19" xfId="0" applyFont="1" applyBorder="1" applyAlignment="1">
      <alignment horizontal="left" vertical="center"/>
    </xf>
    <xf numFmtId="0" fontId="41" fillId="14" borderId="20" xfId="0" applyFont="1" applyFill="1" applyBorder="1" applyAlignment="1">
      <alignment horizontal="left" vertical="center"/>
    </xf>
    <xf numFmtId="166" fontId="41" fillId="14" borderId="20" xfId="0" applyNumberFormat="1" applyFont="1" applyFill="1" applyBorder="1"/>
    <xf numFmtId="0" fontId="40" fillId="22" borderId="31" xfId="0" applyFont="1" applyFill="1" applyBorder="1" applyAlignment="1">
      <alignment horizontal="center"/>
    </xf>
    <xf numFmtId="0" fontId="40" fillId="22" borderId="32" xfId="0" applyFont="1" applyFill="1" applyBorder="1" applyAlignment="1">
      <alignment horizontal="center"/>
    </xf>
    <xf numFmtId="0" fontId="40" fillId="22" borderId="33" xfId="0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5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numFmt numFmtId="166" formatCode="_(&quot;R$&quot;* #,##0.00_);_(&quot;R$&quot;* \(#,##0.00\);_(&quot;R$&quot;* &quot;-&quot;??_);_(@_)"/>
      <fill>
        <patternFill patternType="solid">
          <fgColor rgb="FF8496B0"/>
          <bgColor theme="0" tint="-0.499984740745262"/>
        </patternFill>
      </fill>
      <border diagonalUp="0" diagonalDown="0" outline="0">
        <left style="double">
          <color indexed="64"/>
        </left>
        <right style="double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numFmt numFmtId="166" formatCode="_(&quot;R$&quot;* #,##0.00_);_(&quot;R$&quot;* \(#,##0.00\);_(&quot;R$&quot;* &quot;-&quot;??_);_(@_)"/>
      <fill>
        <patternFill patternType="solid">
          <fgColor rgb="FF8496B0"/>
          <bgColor theme="0" tint="-0.499984740745262"/>
        </patternFill>
      </fill>
      <border diagonalUp="0" diagonalDown="0" outline="0">
        <left style="double">
          <color indexed="64"/>
        </left>
        <right style="double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numFmt numFmtId="166" formatCode="_(&quot;R$&quot;* #,##0.00_);_(&quot;R$&quot;* \(#,##0.00\);_(&quot;R$&quot;* &quot;-&quot;??_);_(@_)"/>
      <fill>
        <patternFill patternType="solid">
          <fgColor rgb="FF2F5496"/>
          <bgColor rgb="FF2F5496"/>
        </patternFill>
      </fill>
      <border diagonalUp="0" diagonalDown="0" outline="0">
        <left style="double">
          <color indexed="64"/>
        </left>
        <right style="double">
          <color indexed="64"/>
        </right>
        <top/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numFmt numFmtId="166" formatCode="_(&quot;R$&quot;* #,##0.00_);_(&quot;R$&quot;* \(#,##0.00\);_(&quot;R$&quot;* &quot;-&quot;??_);_(@_)"/>
      <fill>
        <patternFill patternType="solid">
          <fgColor rgb="FF2F5496"/>
          <bgColor rgb="FF2F5496"/>
        </patternFill>
      </fill>
      <border diagonalUp="0" diagonalDown="0" outline="0">
        <left style="double">
          <color indexed="64"/>
        </left>
        <right style="double">
          <color indexed="64"/>
        </right>
        <top/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numFmt numFmtId="166" formatCode="_(&quot;R$&quot;* #,##0.00_);_(&quot;R$&quot;* \(#,##0.00\);_(&quot;R$&quot;* &quot;-&quot;??_);_(@_)"/>
      <fill>
        <patternFill patternType="solid">
          <fgColor rgb="FF2F5496"/>
          <bgColor rgb="FF2F5496"/>
        </patternFill>
      </fill>
      <border diagonalUp="0" diagonalDown="0" outline="0">
        <left style="double">
          <color indexed="64"/>
        </left>
        <right style="double">
          <color indexed="64"/>
        </right>
        <top/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numFmt numFmtId="166" formatCode="_(&quot;R$&quot;* #,##0.00_);_(&quot;R$&quot;* \(#,##0.00\);_(&quot;R$&quot;* &quot;-&quot;??_);_(@_)"/>
      <fill>
        <patternFill patternType="solid">
          <fgColor rgb="FF2F5496"/>
          <bgColor rgb="FF2F5496"/>
        </patternFill>
      </fill>
      <border diagonalUp="0" diagonalDown="0" outline="0">
        <left style="double">
          <color indexed="64"/>
        </left>
        <right style="double">
          <color indexed="64"/>
        </right>
        <top/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numFmt numFmtId="167" formatCode="_(&quot;R$&quot;* #.##000_);_(&quot;R$&quot;* \(#.##000\);_(&quot;R$&quot;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numFmt numFmtId="166" formatCode="_(&quot;R$&quot;* #,##0.00_);_(&quot;R$&quot;* \(#,##0.00\);_(&quot;R$&quot;* &quot;-&quot;??_);_(@_)"/>
      <fill>
        <patternFill patternType="solid">
          <fgColor rgb="FF2F5496"/>
          <bgColor rgb="FF2F5496"/>
        </patternFill>
      </fill>
      <border diagonalUp="0" diagonalDown="0" outline="0">
        <left style="double">
          <color indexed="64"/>
        </left>
        <right style="double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theme="7" tint="0.79998168889431442"/>
        <name val="Calibri"/>
        <family val="2"/>
        <scheme val="none"/>
      </font>
      <fill>
        <patternFill patternType="solid">
          <fgColor rgb="FF2F5496"/>
          <bgColor theme="0" tint="-0.49998474074526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6" formatCode="_(&quot;R$&quot;* #,##0.00_);_(&quot;R$&quot;* \(#,##0.00\);_(&quot;R$&quot;* &quot;-&quot;??_);_(@_)"/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6" formatCode="_(&quot;R$&quot;* #,##0.00_);_(&quot;R$&quot;* \(#,##0.00\);_(&quot;R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6" formatCode="_(&quot;R$&quot;* #,##0.00_);_(&quot;R$&quot;* \(#,##0.00\);_(&quot;R$&quot;* &quot;-&quot;??_);_(@_)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name val="Calibri"/>
        <family val="2"/>
      </font>
    </dxf>
    <dxf>
      <font>
        <strike val="0"/>
        <outline val="0"/>
        <shadow val="0"/>
        <u val="none"/>
        <vertAlign val="baseline"/>
        <sz val="10"/>
        <name val="Calibri"/>
        <family val="2"/>
      </font>
    </dxf>
    <dxf>
      <font>
        <strike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theme="7" tint="0.79998168889431442"/>
        <name val="Calibri"/>
        <family val="2"/>
        <scheme val="none"/>
      </font>
      <fill>
        <patternFill patternType="solid">
          <fgColor rgb="FF2F5496"/>
          <bgColor theme="0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numFmt numFmtId="166" formatCode="_(&quot;R$&quot;* #,##0.00_);_(&quot;R$&quot;* \(#,##0.00\);_(&quot;R$&quot;* &quot;-&quot;??_);_(@_)"/>
      <fill>
        <patternFill patternType="solid">
          <fgColor rgb="FF2F5496"/>
          <bgColor rgb="FF2F5496"/>
        </patternFill>
      </fill>
      <border diagonalUp="0" diagonalDown="0" outline="0">
        <left style="double">
          <color indexed="64"/>
        </left>
        <right style="double">
          <color indexed="64"/>
        </right>
        <top/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</dxf>
    <dxf>
      <font>
        <strike val="0"/>
        <outline val="0"/>
        <shadow val="0"/>
        <u val="none"/>
        <vertAlign val="baseline"/>
        <sz val="10"/>
        <name val="Calibri"/>
        <family val="2"/>
      </font>
    </dxf>
    <dxf>
      <font>
        <strike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border diagonalUp="0" diagonalDown="0" outline="0">
        <left style="double">
          <color indexed="64"/>
        </left>
        <right style="double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fill>
        <patternFill patternType="solid">
          <fgColor rgb="FF2F5496"/>
          <bgColor theme="0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numFmt numFmtId="166" formatCode="_(&quot;R$&quot;* #,##0.00_);_(&quot;R$&quot;* \(#,##0.00\);_(&quot;R$&quot;* &quot;-&quot;??_);_(@_)"/>
      <fill>
        <patternFill patternType="solid">
          <fgColor rgb="FF2F5496"/>
          <bgColor rgb="FF2F5496"/>
        </patternFill>
      </fill>
      <border diagonalUp="0" diagonalDown="0" outline="0">
        <left style="double">
          <color indexed="64"/>
        </left>
        <right style="double">
          <color indexed="64"/>
        </right>
        <top/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double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fill>
        <patternFill patternType="solid">
          <fgColor rgb="FF2F5496"/>
          <bgColor rgb="FF2F5496"/>
        </patternFill>
      </fill>
      <alignment horizontal="left" vertical="center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double">
          <color indexed="64"/>
        </left>
        <right style="double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</dxfs>
  <tableStyles count="4">
    <tableStyle name="Planilha3-style" pivot="0" count="3" xr9:uid="{00000000-0011-0000-FFFF-FFFF00000000}">
      <tableStyleElement type="headerRow" dxfId="53"/>
      <tableStyleElement type="firstRowStripe" dxfId="52"/>
      <tableStyleElement type="secondRowStripe" dxfId="51"/>
    </tableStyle>
    <tableStyle name="Planilha1-style" pivot="0" count="4" xr9:uid="{00000000-0011-0000-FFFF-FFFF01000000}">
      <tableStyleElement type="headerRow" dxfId="50"/>
      <tableStyleElement type="totalRow" dxfId="49"/>
      <tableStyleElement type="firstRowStripe" dxfId="48"/>
      <tableStyleElement type="secondRowStripe" dxfId="47"/>
    </tableStyle>
    <tableStyle name="Planilha1-style 2" pivot="0" count="4" xr9:uid="{00000000-0011-0000-FFFF-FFFF02000000}">
      <tableStyleElement type="headerRow" dxfId="46"/>
      <tableStyleElement type="totalRow" dxfId="45"/>
      <tableStyleElement type="firstRowStripe" dxfId="44"/>
      <tableStyleElement type="secondRowStripe" dxfId="43"/>
    </tableStyle>
    <tableStyle name="Planilha1-style 3" pivot="0" count="4" xr9:uid="{00000000-0011-0000-FFFF-FFFF03000000}">
      <tableStyleElement type="headerRow" dxfId="42"/>
      <tableStyleElement type="totalRow" dxfId="41"/>
      <tableStyleElement type="firstRowStripe" dxfId="40"/>
      <tableStyleElement type="secondRowStripe" dxfId="39"/>
    </tableStyle>
  </tableStyles>
  <colors>
    <mruColors>
      <color rgb="FFCF5F13"/>
      <color rgb="FFEE240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27</xdr:row>
      <xdr:rowOff>9525</xdr:rowOff>
    </xdr:from>
    <xdr:ext cx="8696325" cy="37719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997838" y="1898813"/>
          <a:ext cx="8696325" cy="3762375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 Declaração Anual do Simples Nacional para o Microempreendedor Individual </a:t>
          </a:r>
          <a:r>
            <a:rPr lang="en-US" sz="13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(DASN-SIMEI) </a:t>
          </a:r>
          <a:r>
            <a:rPr lang="en-US" sz="13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é a prestação de contas obrigatória do MEI à Receita Federal, enviada anualmente até 31 de maio (referente ao ano anterior). Nela, o MEI declara o faturamento bruto total, mesmo que seja zero, para regularizar o CNPJ e evitar multas.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3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Pontos-chave sobre a DASN-SIMEI: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3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3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 que declarar</a:t>
          </a:r>
          <a:r>
            <a:rPr lang="en-US" sz="13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 O faturamento bruto total obtido no ano anterior (vendas e/ou serviços).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3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3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Obrigatoriedade:</a:t>
          </a:r>
          <a:r>
            <a:rPr lang="en-US" sz="13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Mesmo que o MEI não tenha tido faturamento ou movimentação, a declaração deve ser enviada.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3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3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Prazo</a:t>
          </a:r>
          <a:r>
            <a:rPr lang="en-US" sz="13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 Até 31 de maio de cada ano (ano-calendário).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3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3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Onde fazer: </a:t>
          </a:r>
          <a:r>
            <a:rPr lang="en-US" sz="13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Diretamente no Portal do Empreendedor ou site da Receita Federal.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3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3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Consequências do atraso</a:t>
          </a:r>
          <a:r>
            <a:rPr lang="en-US" sz="13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 Multa por atraso (MAED) de 2% ao mês sobre os tributos, com valor mínimo de R$ 50,00.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3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3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Situação Especial</a:t>
          </a:r>
          <a:r>
            <a:rPr lang="en-US" sz="13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 Em caso de baixa (fechamento) do CNPJ, deve-se entregar a "DASN-SIMEI de extinção" no prazo de até um mês após a baixa.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3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 falta de entrega pode levar à inaptidão do CNPJ, bloqueio da emissão de notas fiscais e perda de benefícios previdenciários.</a:t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1</xdr:row>
      <xdr:rowOff>152400</xdr:rowOff>
    </xdr:from>
    <xdr:ext cx="10153650" cy="9810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273938" y="3294225"/>
          <a:ext cx="10144125" cy="971550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300" b="1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 tabela de serviços </a:t>
          </a:r>
          <a:r>
            <a:rPr lang="en-US" sz="13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de um escritório de contabilidade em Campinas-SP varia conforme o porte da empresa (MEI, Simples Nacional, ME, EPP) e o nível de automatização (contabilidade digital ou tradicional).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3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Em 2026, os honorários mensais praticados no mercado local para empresas do Simples Nacional costumam variar entre R$300-R$1.500. </a:t>
          </a:r>
          <a:endParaRPr sz="13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3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Aqui está uma estrutura de serviços e faixas de preço baseadas em pesquisas de mercado para Campinas e região:</a:t>
          </a:r>
          <a:endParaRPr sz="1300"/>
        </a:p>
      </xdr:txBody>
    </xdr:sp>
    <xdr:clientData fLocksWithSheet="0"/>
  </xdr:oneCellAnchor>
  <xdr:oneCellAnchor>
    <xdr:from>
      <xdr:col>0</xdr:col>
      <xdr:colOff>857250</xdr:colOff>
      <xdr:row>49</xdr:row>
      <xdr:rowOff>0</xdr:rowOff>
    </xdr:from>
    <xdr:ext cx="8724900" cy="44481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988313" y="1560675"/>
          <a:ext cx="8715375" cy="4438650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 b="1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Detalhamento dos Serviços por Porte</a:t>
          </a:r>
          <a:br>
            <a:rPr lang="en-US" sz="1300" b="1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endParaRPr sz="1300" b="1" i="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300" b="1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1. MEI (Microempreendedor Individual)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3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Embora não obrigatório, o suporte contábil é essencial para emissão de notas de serviço ou controle de estoque. 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3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Serasa Experian +1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300" b="1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Abertura de MEI</a:t>
          </a:r>
          <a:r>
            <a:rPr lang="en-US" sz="13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(Inclui CNAE, Inscrição Municipal em Campinas).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300" b="1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Emissão da guia DAS</a:t>
          </a:r>
          <a:r>
            <a:rPr lang="en-US" sz="13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mensal.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300" b="1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Relatório Mensal de Receitas Brutas</a:t>
          </a:r>
          <a:r>
            <a:rPr lang="en-US" sz="13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300" b="1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Declaração Anual (DASN-SIMEI)</a:t>
          </a:r>
          <a:r>
            <a:rPr lang="en-US" sz="13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300" b="1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Desenquadramento de MEI</a:t>
          </a:r>
          <a:r>
            <a:rPr lang="en-US" sz="13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(para ME). Prefeitura de Campinas +2</a:t>
          </a:r>
          <a:br>
            <a:rPr lang="en-US" sz="13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endParaRPr sz="1300" b="0" i="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300" b="1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2. Simples Nacional (ME e EPP)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300" b="1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Escrituração Contábil e Fiscal</a:t>
          </a:r>
          <a:r>
            <a:rPr lang="en-US" sz="13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 Registro de notas fiscais de entrada/saída, apuração de impostos (DAS).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300" b="1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Departamento Pessoal</a:t>
          </a:r>
          <a:r>
            <a:rPr lang="en-US" sz="13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 Emissão de folha de pagamento, pró-labore, guias de INSS/FGTS, admissão/demissão.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300" b="1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Obrigações Acessórias</a:t>
          </a:r>
          <a:r>
            <a:rPr lang="en-US" sz="13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 PGDAS-D, DEFIS, DCTF, SPED (se aplicável).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300" b="1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Emissão de Balancetes e Balanço Patrimonial</a:t>
          </a:r>
          <a:r>
            <a:rPr lang="en-US" sz="13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. </a:t>
          </a:r>
          <a:br>
            <a:rPr lang="en-US" sz="13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endParaRPr sz="1300" b="0" i="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300" b="1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3. Serviços Avulsos/Paralegais (Campinas/SP)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300" b="1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Abertura de Empresa (ME/EPP)</a:t>
          </a:r>
          <a:r>
            <a:rPr lang="en-US" sz="13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 Varia de R$300-R$1.000,00+.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300" b="1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Alteração Contratual/Encerramento</a:t>
          </a:r>
          <a:r>
            <a:rPr lang="en-US" sz="13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 Custo elevado, muitas vezes exigindo alvarás do bombeiro (AVCB).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300" b="1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DIRPF (Imposto de Renda Pessoa Física)</a:t>
          </a:r>
          <a:r>
            <a:rPr lang="en-US" sz="13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 A partir de R$ 150,00 (varia com a complexidade)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0</xdr:colOff>
      <xdr:row>75</xdr:row>
      <xdr:rowOff>0</xdr:rowOff>
    </xdr:from>
    <xdr:ext cx="8639175" cy="23241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1031175" y="2622713"/>
          <a:ext cx="8629650" cy="2314575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 b="1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Diferenciais em Campinas (SP)</a:t>
          </a:r>
          <a:br>
            <a:rPr lang="en-US" sz="1300" b="1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endParaRPr sz="1300" b="1" i="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300" b="1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Contabilidade Digital</a:t>
          </a:r>
          <a:r>
            <a:rPr lang="en-US" sz="13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 Escritórios em Campinas têm focado em plataformas digitais para reduzir custos com empresas de serviços (Anexo III).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300" b="1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Certificado Digital</a:t>
          </a:r>
          <a:r>
            <a:rPr lang="en-US" sz="13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 Obrigatório para a maioria das rotinas, o escritório geralmente auxilia na aquisição.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300" b="1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CNAE</a:t>
          </a:r>
          <a:r>
            <a:rPr lang="en-US" sz="13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 A correta definição do CNAE em Campinas é crucial para a alíquota do ISS (Imposto Sobre Serviços). 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3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Prefeitura de Campinas +1</a:t>
          </a:r>
          <a:br>
            <a:rPr lang="en-US" sz="13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endParaRPr sz="1300" b="0" i="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300" b="0" i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Nota: Os valores são estimativas baseadas em médias de mercado e podem sofrer alterações conforme o volume de notas emitidas, funcionários e complexidade da atividade.</a:t>
          </a:r>
          <a:endParaRPr sz="1300" b="0" i="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b="0" i="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0</xdr:colOff>
      <xdr:row>89</xdr:row>
      <xdr:rowOff>57150</xdr:rowOff>
    </xdr:from>
    <xdr:ext cx="8639175" cy="54006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1031175" y="1084425"/>
          <a:ext cx="8629650" cy="5391150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3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Os preços em Campinas variam conforme o bairro e a renome do escritório, mas seguem uma média de mercado para serviços avulsos. Aqui está uma estimativa dos valores praticados:</a:t>
          </a:r>
          <a:br>
            <a:rPr lang="en-US" sz="13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endParaRPr sz="1300" b="0" i="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 b="1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Serviços de Pessoa Física e Certificações</a:t>
          </a:r>
          <a:br>
            <a:rPr lang="en-US" sz="1300" b="1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endParaRPr sz="1300" b="0" i="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300" b="1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DECORE (Declaração de Percepção de Rendimentos):</a:t>
          </a:r>
          <a:r>
            <a:rPr lang="en-US" sz="13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300" b="1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R$150,00-R$450,00</a:t>
          </a:r>
          <a:r>
            <a:rPr lang="en-US" sz="13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por emissão (muitas vezes atrelado ao valor da renda declarada).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300" b="1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Declaração de IRPF (Simplificada):</a:t>
          </a:r>
          <a:r>
            <a:rPr lang="en-US" sz="13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300" b="1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R$150,00-R$ 300,00</a:t>
          </a:r>
          <a:r>
            <a:rPr lang="en-US" sz="13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300" b="1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Declaração de IRPF (Completa/Complexa):</a:t>
          </a:r>
          <a:r>
            <a:rPr lang="en-US" sz="13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300" b="1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R$350,00-R$800,00</a:t>
          </a:r>
          <a:r>
            <a:rPr lang="en-US" sz="13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(depende do volume de bens, ações e dependentes).</a:t>
          </a:r>
          <a:br>
            <a:rPr lang="en-US" sz="13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endParaRPr sz="1300" b="0" i="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300" b="1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Abertura de Empresas</a:t>
          </a:r>
          <a:endParaRPr sz="1300" b="0" i="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300" b="1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Abertura de MEI:</a:t>
          </a:r>
          <a:r>
            <a:rPr lang="en-US" sz="13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300" b="1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R$150,00-R$350,00</a:t>
          </a:r>
          <a:r>
            <a:rPr lang="en-US" sz="13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(embora o portal do governo seja gratuito, o contador cobra pela consultoria de CNAEs e configuração de notas fiscais).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300" b="1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Abertura de ME/EPP (Simples Nacional):</a:t>
          </a:r>
          <a:r>
            <a:rPr lang="en-US" sz="13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300" b="1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R$1.000,00-R$2.500,00</a:t>
          </a:r>
          <a:r>
            <a:rPr lang="en-US" sz="13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(honorários) + taxas da JUCESP e Prefeitura (VRE). Alguns escritórios isentam o honorário se você fechar contrato mensal.</a:t>
          </a:r>
          <a:br>
            <a:rPr lang="en-US" sz="13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endParaRPr sz="1300" b="0" i="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300" b="1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Serviços Avulsos para MEI</a:t>
          </a:r>
          <a:endParaRPr sz="1300" b="0" i="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300" b="1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Declaração Anual (DASN-SIMEI):</a:t>
          </a:r>
          <a:r>
            <a:rPr lang="en-US" sz="13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300" b="1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R$100,00-R$250,00</a:t>
          </a:r>
          <a:r>
            <a:rPr lang="en-US" sz="13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300" b="1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Consultoria Especializada (Hora/Reunião):</a:t>
          </a:r>
          <a:r>
            <a:rPr lang="en-US" sz="13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300" b="1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R$150,00-R$400,00</a:t>
          </a:r>
          <a:r>
            <a:rPr lang="en-US" sz="13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300" b="1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Desenquadramento de MEI para ME:</a:t>
          </a:r>
          <a:r>
            <a:rPr lang="en-US" sz="13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300" b="1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R$500,00-R$ 1.200,00</a:t>
          </a:r>
          <a:r>
            <a:rPr lang="en-US" sz="13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(envolve alteração contratual na Junta Comercial).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300" b="1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Parcelamento de Dívidas (DAS em atraso):</a:t>
          </a:r>
          <a:r>
            <a:rPr lang="en-US" sz="13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300" b="1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R$150,00-R$ 300,00</a:t>
          </a:r>
          <a:r>
            <a:rPr lang="en-US" sz="13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.</a:t>
          </a:r>
          <a:br>
            <a:rPr lang="en-US" sz="13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endParaRPr sz="1300" b="0" i="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300" b="1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Observação sobre Campinas</a:t>
          </a:r>
          <a:endParaRPr sz="1300" b="0" i="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3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Em Campinas, o sistema </a:t>
          </a:r>
          <a:r>
            <a:rPr lang="en-US" sz="1300" b="1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VRE (Via Rápida Empresa)</a:t>
          </a:r>
          <a:r>
            <a:rPr lang="en-US" sz="13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é eficiente, mas exige atenção ao zoneamento da prefeitura. Serviços que envolvem alvarás sanitários ou ambientais podem encarecer os honorários de abertura.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0</xdr:colOff>
      <xdr:row>120</xdr:row>
      <xdr:rowOff>38100</xdr:rowOff>
    </xdr:from>
    <xdr:ext cx="8639175" cy="350520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1031175" y="2032163"/>
          <a:ext cx="8629650" cy="3495675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3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Que legal! Como se trata de um projeto para o </a:t>
          </a:r>
          <a:r>
            <a:rPr lang="en-US" sz="13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Senac Campinas</a:t>
          </a:r>
          <a:r>
            <a:rPr lang="en-US" sz="13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, é importante que sua tabela tenha uma base técnica sólida, pois os professores avaliam se você considerou a </a:t>
          </a:r>
          <a:r>
            <a:rPr lang="en-US" sz="13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responsabilidade técnica</a:t>
          </a:r>
          <a:r>
            <a:rPr lang="en-US" sz="13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e a </a:t>
          </a:r>
          <a:r>
            <a:rPr lang="en-US" sz="13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complexidade</a:t>
          </a:r>
          <a:r>
            <a:rPr lang="en-US" sz="13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de cada ato.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300" b="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3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Para o seu trabalho, você pode estruturar os dados acima citando que os valores são baseados na </a:t>
          </a:r>
          <a:r>
            <a:rPr lang="en-US" sz="13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Tabela Referencial de Honorários</a:t>
          </a:r>
          <a:r>
            <a:rPr lang="en-US" sz="13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recomendada por sindicatos da região (como o </a:t>
          </a:r>
          <a:r>
            <a:rPr lang="en-US" sz="13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Sescon Campinas</a:t>
          </a:r>
          <a:r>
            <a:rPr lang="en-US" sz="13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) e na prática de mercado local.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300" b="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3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Aqui estão três dicas de "ouro" para valorizar seu projeto escolar: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3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Diferencie Honorário de Taxa:</a:t>
          </a:r>
          <a:r>
            <a:rPr lang="en-US" sz="13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Em Campinas, na abertura de empresa (SN), além do contador, o cliente paga a taxa da </a:t>
          </a:r>
          <a:r>
            <a:rPr lang="en-US" sz="13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JUCESP</a:t>
          </a:r>
          <a:r>
            <a:rPr lang="en-US" sz="13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e a taxa de fiscalização da </a:t>
          </a:r>
          <a:r>
            <a:rPr lang="en-US" sz="13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Prefeitura</a:t>
          </a:r>
          <a:r>
            <a:rPr lang="en-US" sz="13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. No seu projeto, deixe claro o que é serviço e o que é taxa pública.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300" b="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3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Risco do DECORE:</a:t>
          </a:r>
          <a:r>
            <a:rPr lang="en-US" sz="13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Explique no trabalho que o preço do DECORE é mais alto porque o contador assume responsabilidade civil e criminal sobre aquela informação perante bancos e o fisco.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300" b="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3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Localização:</a:t>
          </a:r>
          <a:r>
            <a:rPr lang="en-US" sz="13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No centro de Campinas (perto da prefeitura), os preços tendem a ser mais competitivos. Em regiões como Cambuí ou Alphaville, os escritórios costumam cobrar valores de 20% a 40% superiores devido ao custo fixo e perfil de cliente.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3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Você gostaria de ajuda para estruturar a </a:t>
          </a:r>
          <a:r>
            <a:rPr lang="en-US" sz="13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justificativa de preços</a:t>
          </a:r>
          <a:r>
            <a:rPr lang="en-US" sz="13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ou os </a:t>
          </a:r>
          <a:r>
            <a:rPr lang="en-US" sz="13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custos operacionais</a:t>
          </a:r>
          <a:r>
            <a:rPr lang="en-US" sz="13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desse escritório modelo? (Gemini)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b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endParaRPr sz="1300" b="0" i="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847725</xdr:colOff>
      <xdr:row>140</xdr:row>
      <xdr:rowOff>133350</xdr:rowOff>
    </xdr:from>
    <xdr:ext cx="8658225" cy="325755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/>
      </xdr:nvSpPr>
      <xdr:spPr>
        <a:xfrm>
          <a:off x="1021650" y="2155988"/>
          <a:ext cx="8648700" cy="3248025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3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Focar em </a:t>
          </a:r>
          <a:r>
            <a:rPr lang="en-US" sz="1300" b="1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custos</a:t>
          </a:r>
          <a:r>
            <a:rPr lang="en-US" sz="13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é o caminho mais realista para o projeto, já que na contabilidade o "preço de venda" (honorário) depende diretamente do seu </a:t>
          </a:r>
          <a:r>
            <a:rPr lang="en-US" sz="1300" b="1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custo por hora/homem</a:t>
          </a:r>
          <a:r>
            <a:rPr lang="en-US" sz="13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e da estrutura fixa.</a:t>
          </a:r>
          <a:br>
            <a:rPr lang="en-US" sz="13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3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3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Para o seu projeto no Senac, não esqueça de considerar no levantamento de custos: </a:t>
          </a:r>
          <a:br>
            <a:rPr lang="en-US" sz="13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endParaRPr sz="1300" b="0" i="0" u="none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300" b="1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Software Contábil:</a:t>
          </a:r>
          <a:r>
            <a:rPr lang="en-US" sz="13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(Ex: Domínio, Alterdata ou Alterdata) – Geralmente é o maior custo variável/fixo por CNPJ.</a:t>
          </a:r>
          <a:br>
            <a:rPr lang="en-US" sz="13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endParaRPr sz="1300" b="1" i="0" u="none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300" b="1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Certificado Digital:</a:t>
          </a:r>
          <a:r>
            <a:rPr lang="en-US" sz="13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Custo do contador (e-CPF) para assinar as obrigações.</a:t>
          </a:r>
          <a:r>
            <a:rPr lang="en-US" sz="13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br>
            <a:rPr lang="en-US" sz="13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br>
            <a:rPr lang="en-US" sz="13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300" b="1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Sindicato (SESCON):</a:t>
          </a:r>
          <a:r>
            <a:rPr lang="en-US" sz="13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Contribuições e taxas sindicais patronais.</a:t>
          </a:r>
          <a:r>
            <a:rPr lang="en-US" sz="13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br>
            <a:rPr lang="en-US" sz="13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br>
            <a:rPr lang="en-US" sz="13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300" b="1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Educação Continuada:</a:t>
          </a:r>
          <a:r>
            <a:rPr lang="en-US" sz="13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O custo para manter o CRC ativo e atualizado (pontuação EPC).</a:t>
          </a:r>
          <a:r>
            <a:rPr lang="en-US" sz="1300" b="1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br>
            <a:rPr lang="en-US" sz="1300" b="1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endParaRPr sz="1300" b="0" i="0" u="none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3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Bom descanso para a cabeça! Quando retomar, quer ajuda para listar os </a:t>
          </a:r>
          <a:r>
            <a:rPr lang="en-US" sz="1300" b="1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custos fixos</a:t>
          </a:r>
          <a:r>
            <a:rPr lang="en-US" sz="13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ou os </a:t>
          </a:r>
          <a:r>
            <a:rPr lang="en-US" sz="1300" b="1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impostos</a:t>
          </a:r>
          <a:r>
            <a:rPr lang="en-US" sz="13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sobre o faturamento do escritório?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b="0" i="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533400</xdr:colOff>
      <xdr:row>96</xdr:row>
      <xdr:rowOff>7620</xdr:rowOff>
    </xdr:from>
    <xdr:to>
      <xdr:col>5</xdr:col>
      <xdr:colOff>914400</xdr:colOff>
      <xdr:row>105</xdr:row>
      <xdr:rowOff>76200</xdr:rowOff>
    </xdr:to>
    <xdr:sp macro="" textlink="">
      <xdr:nvSpPr>
        <xdr:cNvPr id="36" name="CaixaDeTexto 35">
          <a:extLst>
            <a:ext uri="{FF2B5EF4-FFF2-40B4-BE49-F238E27FC236}">
              <a16:creationId xmlns:a16="http://schemas.microsoft.com/office/drawing/2014/main" id="{36A60830-23D3-76DA-CFD8-9E62D02AC061}"/>
            </a:ext>
          </a:extLst>
        </xdr:cNvPr>
        <xdr:cNvSpPr txBox="1"/>
      </xdr:nvSpPr>
      <xdr:spPr>
        <a:xfrm>
          <a:off x="533400" y="25778460"/>
          <a:ext cx="7490460" cy="1714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1ª Faixa (até R$ 1.518,00):</a:t>
          </a:r>
          <a:r>
            <a:rPr lang="pt-BR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Aplica-se 7,5% sobre o valor total desta faixa.</a:t>
          </a:r>
        </a:p>
        <a:p>
          <a:r>
            <a:rPr lang="pt-BR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2ª Faixa (de R$1.518,01 até  2.181,82):</a:t>
          </a:r>
          <a:r>
            <a:rPr lang="pt-BR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Aplica-se 9% apenas sobre a diferença que entra nesta faixa (2181,82-1518,01=$663,82)).</a:t>
          </a:r>
        </a:p>
        <a:p>
          <a:r>
            <a:rPr lang="pt-BR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$1.518,00*7,5%</a:t>
          </a:r>
          <a:r>
            <a:rPr lang="pt-BR" sz="14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=$113,85</a:t>
          </a:r>
        </a:p>
        <a:p>
          <a:r>
            <a:rPr lang="pt-BR" sz="14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$663,82*9% =$59,74</a:t>
          </a:r>
          <a:endParaRPr lang="pt-BR" sz="14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Total do Desconto:</a:t>
          </a:r>
          <a:r>
            <a:rPr lang="pt-BR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Soma-se os valores encontrados em cada etapa. $113,85+$59,74 </a:t>
          </a:r>
          <a:r>
            <a:rPr lang="pt-BR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=$173,59.</a:t>
          </a:r>
        </a:p>
        <a:p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144780</xdr:colOff>
      <xdr:row>1</xdr:row>
      <xdr:rowOff>198120</xdr:rowOff>
    </xdr:from>
    <xdr:to>
      <xdr:col>7</xdr:col>
      <xdr:colOff>876300</xdr:colOff>
      <xdr:row>2</xdr:row>
      <xdr:rowOff>160020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00CE77A1-B621-0700-96B7-46247D94E031}"/>
            </a:ext>
          </a:extLst>
        </xdr:cNvPr>
        <xdr:cNvSpPr txBox="1"/>
      </xdr:nvSpPr>
      <xdr:spPr>
        <a:xfrm>
          <a:off x="10888980" y="762000"/>
          <a:ext cx="731520" cy="36576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 b="1" i="0" u="none" strike="noStrike">
              <a:solidFill>
                <a:schemeClr val="accent4">
                  <a:lumMod val="20000"/>
                  <a:lumOff val="80000"/>
                </a:schemeClr>
              </a:solidFill>
              <a:effectLst/>
              <a:latin typeface="+mn-lt"/>
              <a:ea typeface="+mn-ea"/>
              <a:cs typeface="+mn-cs"/>
            </a:rPr>
            <a:t>Vence</a:t>
          </a:r>
          <a:r>
            <a:rPr lang="pt-BR" sz="1400">
              <a:solidFill>
                <a:schemeClr val="accent4">
                  <a:lumMod val="20000"/>
                  <a:lumOff val="80000"/>
                </a:schemeClr>
              </a:solidFill>
              <a:effectLst/>
              <a:latin typeface="+mj-lt"/>
            </a:rPr>
            <a:t> </a:t>
          </a:r>
          <a:endParaRPr lang="pt-BR" sz="1400">
            <a:solidFill>
              <a:schemeClr val="accent4">
                <a:lumMod val="20000"/>
                <a:lumOff val="80000"/>
              </a:schemeClr>
            </a:solidFill>
            <a:latin typeface="+mj-lt"/>
          </a:endParaRPr>
        </a:p>
      </xdr:txBody>
    </xdr:sp>
    <xdr:clientData/>
  </xdr:twoCellAnchor>
  <xdr:twoCellAnchor>
    <xdr:from>
      <xdr:col>8</xdr:col>
      <xdr:colOff>320040</xdr:colOff>
      <xdr:row>1</xdr:row>
      <xdr:rowOff>144780</xdr:rowOff>
    </xdr:from>
    <xdr:to>
      <xdr:col>8</xdr:col>
      <xdr:colOff>1013460</xdr:colOff>
      <xdr:row>2</xdr:row>
      <xdr:rowOff>106680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2CBCAE31-4259-4FA9-8F08-2C5CAC135D19}"/>
            </a:ext>
          </a:extLst>
        </xdr:cNvPr>
        <xdr:cNvSpPr txBox="1"/>
      </xdr:nvSpPr>
      <xdr:spPr>
        <a:xfrm>
          <a:off x="8061960" y="525780"/>
          <a:ext cx="693420" cy="36576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 b="1" i="0" u="none" strike="noStrike">
              <a:solidFill>
                <a:schemeClr val="accent4">
                  <a:lumMod val="20000"/>
                  <a:lumOff val="80000"/>
                </a:schemeClr>
              </a:solidFill>
              <a:effectLst/>
              <a:latin typeface="+mn-lt"/>
              <a:ea typeface="+mn-ea"/>
              <a:cs typeface="+mn-cs"/>
            </a:rPr>
            <a:t>OBS.</a:t>
          </a:r>
          <a:endParaRPr lang="pt-BR" sz="1400">
            <a:solidFill>
              <a:schemeClr val="accent4">
                <a:lumMod val="20000"/>
                <a:lumOff val="80000"/>
              </a:schemeClr>
            </a:solidFill>
            <a:latin typeface="+mn-lt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0</xdr:row>
      <xdr:rowOff>9525</xdr:rowOff>
    </xdr:from>
    <xdr:ext cx="647700" cy="3429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5026913" y="3613313"/>
          <a:ext cx="6381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Vence</a:t>
          </a:r>
          <a:endParaRPr sz="1400"/>
        </a:p>
      </xdr:txBody>
    </xdr:sp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C135AEC-475F-4CC5-84E7-2056F156B9A6}" name="Table_13" displayName="Table_13" ref="B3:D18" headerRowDxfId="38" dataDxfId="37" totalsRowDxfId="36">
  <tableColumns count="3">
    <tableColumn id="1" xr3:uid="{48C64E43-35EC-417B-8282-0D4EB9589E6E}" name="Porte/Regime " dataDxfId="35"/>
    <tableColumn id="2" xr3:uid="{DF2812A1-B18D-440D-818D-D4A0064EF4AC}" name="Serviços Incluídos" dataDxfId="34"/>
    <tableColumn id="3" xr3:uid="{13403498-12AD-4272-BB7B-2BC357C6419B}" name="Faixa de Preço (Mensal)" dataDxfId="33"/>
  </tableColumns>
  <tableStyleInfo name="Planilha3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34D560-BEFA-4DD3-A462-6D43F5FC936F}" name="Table_132" displayName="Table_132" ref="B10:D25" headerRowDxfId="32" dataDxfId="31" totalsRowDxfId="30">
  <tableColumns count="3">
    <tableColumn id="1" xr3:uid="{FD8D095F-443D-4C51-B651-587E4AFFB135}" name="Porte/Regime " dataDxfId="29"/>
    <tableColumn id="2" xr3:uid="{31A32C0B-C534-4E89-A41D-97C7EC27A6CC}" name="Serviços Incluídos" dataDxfId="28"/>
    <tableColumn id="3" xr3:uid="{C9949401-6C9E-41C8-B959-896570F6BAD2}" name="Faixa de Preço (Mensal)" dataDxfId="27"/>
  </tableColumns>
  <tableStyleInfo name="Planilha3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D889C7EE-2ED7-490E-8D87-10C4963A3334}" name="Table_219" displayName="Table_219" ref="A2:B35" totalsRowCount="1" headerRowDxfId="22" dataDxfId="20" totalsRowDxfId="21">
  <tableColumns count="2">
    <tableColumn id="1" xr3:uid="{AB39E04F-4E7D-4177-B605-74CDC383CD26}" name="Despesas" totalsRowLabel="TOTAL MENSAL" dataDxfId="26" totalsRowDxfId="25"/>
    <tableColumn id="2" xr3:uid="{226507C6-ECAE-4774-83D3-0F55422EBB72}" name="Janeiro" totalsRowFunction="sum" dataDxfId="24" totalsRowDxfId="23"/>
  </tableColumns>
  <tableStyleInfo name="Planilha1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EAE1A4CC-270A-4674-81D6-DD8550829EC3}" name="Table_320" displayName="Table_320" ref="C2:C35" totalsRowCount="1" headerRowDxfId="17" dataDxfId="15" totalsRowDxfId="16">
  <tableColumns count="1">
    <tableColumn id="2" xr3:uid="{BBE1E036-D334-4272-B701-6A4F61B7CB50}" name="Fevereiro" totalsRowFunction="sum" dataDxfId="19" totalsRowDxfId="18"/>
  </tableColumns>
  <tableStyleInfo name="Planilha1-style 2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29489B4A-1965-4B8A-8BE9-2B467C5750AF}" name="Table_421" displayName="Table_421" ref="D2:I35" totalsRowCount="1" headerRowDxfId="8" dataDxfId="6" totalsRowDxfId="7">
  <tableColumns count="6">
    <tableColumn id="2" xr3:uid="{4179F969-694A-4E65-91E1-5C595430F78E}" name="Março" totalsRowFunction="sum" dataDxfId="14" totalsRowDxfId="5"/>
    <tableColumn id="1" xr3:uid="{D88CC3A3-8E95-4132-8776-15700E09E896}" name="Abril" totalsRowFunction="sum" dataDxfId="13" totalsRowDxfId="4"/>
    <tableColumn id="3" xr3:uid="{BB71091D-9590-4EA6-83CB-B7BE17EE3ADF}" name="Maio" totalsRowFunction="sum" dataDxfId="12" totalsRowDxfId="3"/>
    <tableColumn id="4" xr3:uid="{6EB5C3A2-B403-48CA-BC3F-7963576A6D3C}" name="Junho" totalsRowFunction="sum" dataDxfId="11" totalsRowDxfId="2"/>
    <tableColumn id="5" xr3:uid="{E64D8FE5-DA26-45B6-8F41-8F481B455A2F}" name="Vence" dataDxfId="10" totalsRowDxfId="1"/>
    <tableColumn id="6" xr3:uid="{D232010A-87EC-403D-A727-B2C79E3C5D56}" name="OBS." dataDxfId="9" totalsRowDxfId="0"/>
  </tableColumns>
  <tableStyleInfo name="Planilha1-style 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93D5A-4975-4B97-B317-46A1DBBF6829}">
  <dimension ref="B2:D992"/>
  <sheetViews>
    <sheetView topLeftCell="A10" zoomScale="85" zoomScaleNormal="85" workbookViewId="0">
      <selection activeCell="B2" sqref="B2:D18"/>
    </sheetView>
  </sheetViews>
  <sheetFormatPr defaultColWidth="14.44140625" defaultRowHeight="15" customHeight="1" x14ac:dyDescent="0.3"/>
  <cols>
    <col min="1" max="1" width="6.77734375" customWidth="1"/>
    <col min="2" max="2" width="66.5546875" customWidth="1"/>
    <col min="3" max="3" width="77.6640625" customWidth="1"/>
    <col min="4" max="4" width="30.5546875" customWidth="1"/>
    <col min="5" max="26" width="12.6640625" customWidth="1"/>
  </cols>
  <sheetData>
    <row r="2" spans="2:4" ht="39.6" customHeight="1" x14ac:dyDescent="0.4">
      <c r="B2" s="138" t="s">
        <v>354</v>
      </c>
      <c r="C2" s="139"/>
      <c r="D2" s="140"/>
    </row>
    <row r="3" spans="2:4" ht="39.6" customHeight="1" x14ac:dyDescent="0.3">
      <c r="B3" s="121" t="s">
        <v>76</v>
      </c>
      <c r="C3" s="121" t="s">
        <v>77</v>
      </c>
      <c r="D3" s="122" t="s">
        <v>78</v>
      </c>
    </row>
    <row r="4" spans="2:4" ht="39.6" customHeight="1" x14ac:dyDescent="0.3">
      <c r="B4" s="123" t="s">
        <v>10</v>
      </c>
      <c r="C4" s="124" t="s">
        <v>79</v>
      </c>
      <c r="D4" s="125">
        <v>250</v>
      </c>
    </row>
    <row r="5" spans="2:4" ht="39.6" customHeight="1" x14ac:dyDescent="0.3">
      <c r="B5" s="123" t="s">
        <v>11</v>
      </c>
      <c r="C5" s="124" t="s">
        <v>80</v>
      </c>
      <c r="D5" s="125">
        <v>800</v>
      </c>
    </row>
    <row r="6" spans="2:4" ht="39.6" customHeight="1" x14ac:dyDescent="0.3">
      <c r="B6" s="123" t="s">
        <v>12</v>
      </c>
      <c r="C6" s="124" t="s">
        <v>81</v>
      </c>
      <c r="D6" s="125">
        <v>1000</v>
      </c>
    </row>
    <row r="7" spans="2:4" ht="39.6" customHeight="1" x14ac:dyDescent="0.3">
      <c r="B7" s="123" t="s">
        <v>13</v>
      </c>
      <c r="C7" s="124" t="s">
        <v>82</v>
      </c>
      <c r="D7" s="125">
        <v>3000</v>
      </c>
    </row>
    <row r="8" spans="2:4" ht="39.6" customHeight="1" x14ac:dyDescent="0.4">
      <c r="B8" s="126"/>
      <c r="C8" s="127"/>
      <c r="D8" s="128"/>
    </row>
    <row r="9" spans="2:4" ht="39.6" customHeight="1" x14ac:dyDescent="0.3">
      <c r="B9" s="129" t="s">
        <v>14</v>
      </c>
      <c r="C9" s="130" t="s">
        <v>83</v>
      </c>
      <c r="D9" s="125">
        <v>450</v>
      </c>
    </row>
    <row r="10" spans="2:4" ht="39.6" customHeight="1" x14ac:dyDescent="0.3">
      <c r="B10" s="129" t="s">
        <v>355</v>
      </c>
      <c r="C10" s="131" t="s">
        <v>356</v>
      </c>
      <c r="D10" s="125">
        <v>380</v>
      </c>
    </row>
    <row r="11" spans="2:4" ht="39.6" customHeight="1" x14ac:dyDescent="0.3">
      <c r="B11" s="129" t="s">
        <v>16</v>
      </c>
      <c r="C11" s="132" t="s">
        <v>84</v>
      </c>
      <c r="D11" s="125">
        <v>150</v>
      </c>
    </row>
    <row r="12" spans="2:4" ht="39.6" customHeight="1" x14ac:dyDescent="0.3">
      <c r="B12" s="129" t="s">
        <v>17</v>
      </c>
      <c r="C12" s="131" t="s">
        <v>85</v>
      </c>
      <c r="D12" s="125">
        <v>550</v>
      </c>
    </row>
    <row r="13" spans="2:4" ht="39.6" customHeight="1" x14ac:dyDescent="0.3">
      <c r="B13" s="129" t="s">
        <v>18</v>
      </c>
      <c r="C13" s="131" t="s">
        <v>86</v>
      </c>
      <c r="D13" s="125">
        <v>150</v>
      </c>
    </row>
    <row r="14" spans="2:4" ht="39.6" customHeight="1" x14ac:dyDescent="0.3">
      <c r="B14" s="129" t="s">
        <v>19</v>
      </c>
      <c r="C14" s="131" t="s">
        <v>87</v>
      </c>
      <c r="D14" s="125">
        <v>1200</v>
      </c>
    </row>
    <row r="15" spans="2:4" ht="39.6" customHeight="1" x14ac:dyDescent="0.3">
      <c r="B15" s="129" t="s">
        <v>88</v>
      </c>
      <c r="C15" s="132" t="s">
        <v>89</v>
      </c>
      <c r="D15" s="125">
        <v>150</v>
      </c>
    </row>
    <row r="16" spans="2:4" ht="39.6" customHeight="1" x14ac:dyDescent="0.3">
      <c r="B16" s="129" t="s">
        <v>90</v>
      </c>
      <c r="C16" s="132" t="s">
        <v>91</v>
      </c>
      <c r="D16" s="125">
        <v>150</v>
      </c>
    </row>
    <row r="17" spans="2:4" ht="39.6" customHeight="1" x14ac:dyDescent="0.3">
      <c r="B17" s="129" t="s">
        <v>20</v>
      </c>
      <c r="C17" s="131" t="s">
        <v>92</v>
      </c>
      <c r="D17" s="125">
        <v>600</v>
      </c>
    </row>
    <row r="18" spans="2:4" ht="39.6" customHeight="1" x14ac:dyDescent="0.3">
      <c r="B18" s="129" t="s">
        <v>21</v>
      </c>
      <c r="C18" s="132" t="s">
        <v>93</v>
      </c>
      <c r="D18" s="125">
        <v>180</v>
      </c>
    </row>
    <row r="19" spans="2:4" ht="14.25" customHeight="1" x14ac:dyDescent="0.3"/>
    <row r="20" spans="2:4" ht="14.25" customHeight="1" x14ac:dyDescent="0.3"/>
    <row r="21" spans="2:4" ht="14.25" customHeight="1" x14ac:dyDescent="0.3"/>
    <row r="22" spans="2:4" ht="14.25" customHeight="1" x14ac:dyDescent="0.3"/>
    <row r="23" spans="2:4" ht="14.25" customHeight="1" x14ac:dyDescent="0.3"/>
    <row r="24" spans="2:4" ht="14.25" customHeight="1" x14ac:dyDescent="0.3"/>
    <row r="25" spans="2:4" ht="14.25" customHeight="1" x14ac:dyDescent="0.3"/>
    <row r="26" spans="2:4" ht="14.25" customHeight="1" x14ac:dyDescent="0.3"/>
    <row r="27" spans="2:4" ht="14.25" customHeight="1" x14ac:dyDescent="0.3"/>
    <row r="28" spans="2:4" ht="14.25" customHeight="1" x14ac:dyDescent="0.3"/>
    <row r="29" spans="2:4" ht="14.25" customHeight="1" x14ac:dyDescent="0.3"/>
    <row r="30" spans="2:4" ht="14.25" customHeight="1" x14ac:dyDescent="0.3"/>
    <row r="31" spans="2:4" ht="14.25" customHeight="1" x14ac:dyDescent="0.3"/>
    <row r="32" spans="2:4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</sheetData>
  <mergeCells count="1">
    <mergeCell ref="B2:D2"/>
  </mergeCells>
  <pageMargins left="0.19685039370078741" right="0.19685039370078741" top="0.39370078740157483" bottom="0.39370078740157483" header="0.31496062992125984" footer="0.31496062992125984"/>
  <pageSetup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1000"/>
  <sheetViews>
    <sheetView topLeftCell="A16" zoomScale="85" zoomScaleNormal="85" workbookViewId="0">
      <selection activeCell="G11" sqref="G11"/>
    </sheetView>
  </sheetViews>
  <sheetFormatPr defaultColWidth="14.44140625" defaultRowHeight="15" customHeight="1" x14ac:dyDescent="0.3"/>
  <cols>
    <col min="1" max="1" width="12.6640625" customWidth="1"/>
    <col min="2" max="3" width="64.6640625" customWidth="1"/>
    <col min="4" max="4" width="22.5546875" customWidth="1"/>
    <col min="5" max="26" width="12.6640625" customWidth="1"/>
  </cols>
  <sheetData>
    <row r="1" spans="2:4" ht="14.25" customHeight="1" x14ac:dyDescent="0.3"/>
    <row r="2" spans="2:4" ht="14.25" customHeight="1" x14ac:dyDescent="0.3"/>
    <row r="3" spans="2:4" ht="14.25" customHeight="1" x14ac:dyDescent="0.3"/>
    <row r="4" spans="2:4" ht="14.25" customHeight="1" x14ac:dyDescent="0.3"/>
    <row r="5" spans="2:4" ht="14.25" customHeight="1" x14ac:dyDescent="0.3"/>
    <row r="6" spans="2:4" ht="14.25" customHeight="1" x14ac:dyDescent="0.3"/>
    <row r="7" spans="2:4" ht="14.25" customHeight="1" x14ac:dyDescent="0.3"/>
    <row r="8" spans="2:4" ht="14.4" x14ac:dyDescent="0.3"/>
    <row r="9" spans="2:4" ht="21" x14ac:dyDescent="0.4">
      <c r="B9" s="138" t="s">
        <v>354</v>
      </c>
      <c r="C9" s="139"/>
      <c r="D9" s="140"/>
    </row>
    <row r="10" spans="2:4" ht="42" x14ac:dyDescent="0.3">
      <c r="B10" s="121" t="s">
        <v>76</v>
      </c>
      <c r="C10" s="121" t="s">
        <v>77</v>
      </c>
      <c r="D10" s="122" t="s">
        <v>78</v>
      </c>
    </row>
    <row r="11" spans="2:4" ht="42" x14ac:dyDescent="0.3">
      <c r="B11" s="123" t="s">
        <v>10</v>
      </c>
      <c r="C11" s="124" t="s">
        <v>79</v>
      </c>
      <c r="D11" s="125">
        <v>250</v>
      </c>
    </row>
    <row r="12" spans="2:4" ht="42" x14ac:dyDescent="0.3">
      <c r="B12" s="123" t="s">
        <v>11</v>
      </c>
      <c r="C12" s="124" t="s">
        <v>80</v>
      </c>
      <c r="D12" s="125">
        <v>800</v>
      </c>
    </row>
    <row r="13" spans="2:4" ht="42" x14ac:dyDescent="0.3">
      <c r="B13" s="123" t="s">
        <v>12</v>
      </c>
      <c r="C13" s="124" t="s">
        <v>81</v>
      </c>
      <c r="D13" s="125">
        <v>1000</v>
      </c>
    </row>
    <row r="14" spans="2:4" ht="42" x14ac:dyDescent="0.3">
      <c r="B14" s="123" t="s">
        <v>13</v>
      </c>
      <c r="C14" s="124" t="s">
        <v>82</v>
      </c>
      <c r="D14" s="125">
        <v>3000</v>
      </c>
    </row>
    <row r="15" spans="2:4" ht="21" x14ac:dyDescent="0.4">
      <c r="B15" s="126"/>
      <c r="C15" s="127"/>
      <c r="D15" s="128"/>
    </row>
    <row r="16" spans="2:4" ht="29.4" customHeight="1" x14ac:dyDescent="0.3">
      <c r="B16" s="129" t="s">
        <v>14</v>
      </c>
      <c r="C16" s="130" t="s">
        <v>83</v>
      </c>
      <c r="D16" s="125">
        <v>450</v>
      </c>
    </row>
    <row r="17" spans="2:4" ht="42" x14ac:dyDescent="0.3">
      <c r="B17" s="129" t="s">
        <v>355</v>
      </c>
      <c r="C17" s="131" t="s">
        <v>356</v>
      </c>
      <c r="D17" s="125">
        <v>380</v>
      </c>
    </row>
    <row r="18" spans="2:4" ht="30" customHeight="1" x14ac:dyDescent="0.3">
      <c r="B18" s="129" t="s">
        <v>16</v>
      </c>
      <c r="C18" s="132" t="s">
        <v>84</v>
      </c>
      <c r="D18" s="125">
        <v>150</v>
      </c>
    </row>
    <row r="19" spans="2:4" ht="42" x14ac:dyDescent="0.3">
      <c r="B19" s="129" t="s">
        <v>17</v>
      </c>
      <c r="C19" s="131" t="s">
        <v>85</v>
      </c>
      <c r="D19" s="125">
        <v>550</v>
      </c>
    </row>
    <row r="20" spans="2:4" ht="42" x14ac:dyDescent="0.3">
      <c r="B20" s="129" t="s">
        <v>18</v>
      </c>
      <c r="C20" s="131" t="s">
        <v>86</v>
      </c>
      <c r="D20" s="125">
        <v>150</v>
      </c>
    </row>
    <row r="21" spans="2:4" ht="63" x14ac:dyDescent="0.3">
      <c r="B21" s="129" t="s">
        <v>19</v>
      </c>
      <c r="C21" s="131" t="s">
        <v>87</v>
      </c>
      <c r="D21" s="125">
        <v>1200</v>
      </c>
    </row>
    <row r="22" spans="2:4" ht="27.6" customHeight="1" x14ac:dyDescent="0.3">
      <c r="B22" s="129" t="s">
        <v>88</v>
      </c>
      <c r="C22" s="132" t="s">
        <v>89</v>
      </c>
      <c r="D22" s="125">
        <v>150</v>
      </c>
    </row>
    <row r="23" spans="2:4" ht="31.2" customHeight="1" x14ac:dyDescent="0.3">
      <c r="B23" s="129" t="s">
        <v>90</v>
      </c>
      <c r="C23" s="132" t="s">
        <v>91</v>
      </c>
      <c r="D23" s="125">
        <v>150</v>
      </c>
    </row>
    <row r="24" spans="2:4" ht="42" x14ac:dyDescent="0.3">
      <c r="B24" s="129" t="s">
        <v>20</v>
      </c>
      <c r="C24" s="131" t="s">
        <v>92</v>
      </c>
      <c r="D24" s="125">
        <v>600</v>
      </c>
    </row>
    <row r="25" spans="2:4" ht="30" customHeight="1" x14ac:dyDescent="0.3">
      <c r="B25" s="129" t="s">
        <v>21</v>
      </c>
      <c r="C25" s="132" t="s">
        <v>93</v>
      </c>
      <c r="D25" s="125">
        <v>180</v>
      </c>
    </row>
    <row r="26" spans="2:4" ht="14.4" x14ac:dyDescent="0.3"/>
    <row r="27" spans="2:4" ht="14.25" customHeight="1" x14ac:dyDescent="0.3"/>
    <row r="28" spans="2:4" ht="14.25" customHeight="1" x14ac:dyDescent="0.3"/>
    <row r="29" spans="2:4" ht="14.25" customHeight="1" x14ac:dyDescent="0.3"/>
    <row r="30" spans="2:4" ht="14.25" customHeight="1" x14ac:dyDescent="0.3"/>
    <row r="31" spans="2:4" ht="14.25" customHeight="1" x14ac:dyDescent="0.3"/>
    <row r="32" spans="2:4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">
    <mergeCell ref="B9:D9"/>
  </mergeCells>
  <pageMargins left="0.511811024" right="0.511811024" top="0.78740157499999996" bottom="0.78740157499999996" header="0" footer="0"/>
  <pageSetup orientation="landscape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58F30-F7BC-41DD-B72A-BFF4F4524622}">
  <dimension ref="A1:K94"/>
  <sheetViews>
    <sheetView topLeftCell="A77" zoomScaleNormal="100" workbookViewId="0">
      <selection activeCell="G4" sqref="G4"/>
    </sheetView>
  </sheetViews>
  <sheetFormatPr defaultRowHeight="14.4" x14ac:dyDescent="0.3"/>
  <cols>
    <col min="1" max="1" width="13.109375" customWidth="1"/>
    <col min="2" max="2" width="26.6640625" customWidth="1"/>
    <col min="3" max="3" width="17.88671875" customWidth="1"/>
    <col min="4" max="4" width="19.109375" customWidth="1"/>
    <col min="5" max="5" width="26.88671875" customWidth="1"/>
    <col min="6" max="6" width="15.88671875" customWidth="1"/>
    <col min="7" max="7" width="19.109375" customWidth="1"/>
    <col min="8" max="8" width="27.5546875" customWidth="1"/>
    <col min="9" max="9" width="19.21875" customWidth="1"/>
  </cols>
  <sheetData>
    <row r="1" spans="1:11" ht="25.8" customHeight="1" x14ac:dyDescent="0.3"/>
    <row r="2" spans="1:11" ht="25.8" customHeight="1" x14ac:dyDescent="0.3">
      <c r="A2" s="141" t="s">
        <v>331</v>
      </c>
      <c r="B2" s="141"/>
    </row>
    <row r="3" spans="1:11" ht="19.2" customHeight="1" x14ac:dyDescent="0.3"/>
    <row r="4" spans="1:11" ht="21" x14ac:dyDescent="0.4">
      <c r="A4" s="98"/>
      <c r="B4" s="98" t="s">
        <v>307</v>
      </c>
      <c r="C4" s="98"/>
      <c r="D4" s="98"/>
      <c r="E4" s="98" t="s">
        <v>308</v>
      </c>
      <c r="F4" s="98"/>
      <c r="G4" s="98"/>
      <c r="H4" s="98"/>
      <c r="I4" s="98"/>
      <c r="J4" s="98"/>
      <c r="K4" s="98"/>
    </row>
    <row r="5" spans="1:11" ht="21" x14ac:dyDescent="0.4">
      <c r="A5" s="98"/>
      <c r="B5" s="98" t="s">
        <v>309</v>
      </c>
      <c r="C5" s="98"/>
      <c r="D5" s="98"/>
      <c r="E5" s="98" t="s">
        <v>310</v>
      </c>
      <c r="F5" s="98"/>
      <c r="G5" s="98"/>
      <c r="H5" s="98"/>
      <c r="I5" s="98"/>
      <c r="J5" s="98"/>
      <c r="K5" s="98"/>
    </row>
    <row r="6" spans="1:11" ht="21" x14ac:dyDescent="0.4">
      <c r="A6" s="98"/>
      <c r="B6" s="98" t="s">
        <v>311</v>
      </c>
      <c r="C6" s="98"/>
      <c r="D6" s="98"/>
      <c r="E6" s="98" t="s">
        <v>357</v>
      </c>
      <c r="F6" s="98"/>
      <c r="G6" s="98"/>
      <c r="H6" s="99" t="s">
        <v>324</v>
      </c>
      <c r="I6" s="98"/>
      <c r="J6" s="98"/>
      <c r="K6" s="98"/>
    </row>
    <row r="7" spans="1:11" ht="21" x14ac:dyDescent="0.4">
      <c r="A7" s="98"/>
      <c r="B7" s="98"/>
      <c r="C7" s="98"/>
      <c r="D7" s="98"/>
      <c r="E7" s="98"/>
      <c r="F7" s="98"/>
      <c r="G7" s="98"/>
      <c r="H7" s="98"/>
      <c r="I7" s="98"/>
      <c r="J7" s="98"/>
      <c r="K7" s="98"/>
    </row>
    <row r="8" spans="1:11" ht="21" x14ac:dyDescent="0.4">
      <c r="A8" s="98"/>
      <c r="B8" s="98" t="s">
        <v>312</v>
      </c>
      <c r="C8" s="100">
        <v>700</v>
      </c>
      <c r="D8" s="98"/>
      <c r="E8" s="98" t="s">
        <v>312</v>
      </c>
      <c r="F8" s="100">
        <v>872.76</v>
      </c>
      <c r="G8" s="98"/>
      <c r="H8" s="98" t="s">
        <v>312</v>
      </c>
      <c r="I8" s="101">
        <f t="shared" ref="I8:I17" si="0">C8+F8</f>
        <v>1572.76</v>
      </c>
      <c r="J8" s="98"/>
      <c r="K8" s="98"/>
    </row>
    <row r="9" spans="1:11" ht="21" x14ac:dyDescent="0.4">
      <c r="A9" s="98"/>
      <c r="B9" s="98" t="s">
        <v>335</v>
      </c>
      <c r="C9" s="113">
        <v>52.5</v>
      </c>
      <c r="D9" s="98"/>
      <c r="E9" s="98" t="s">
        <v>335</v>
      </c>
      <c r="F9" s="113">
        <v>65.459999999999994</v>
      </c>
      <c r="G9" s="98"/>
      <c r="H9" s="98" t="s">
        <v>333</v>
      </c>
      <c r="I9" s="114">
        <f t="shared" si="0"/>
        <v>117.96</v>
      </c>
      <c r="J9" s="98"/>
      <c r="K9" s="98"/>
    </row>
    <row r="10" spans="1:11" ht="21" x14ac:dyDescent="0.4">
      <c r="A10" s="98"/>
      <c r="B10" s="98" t="s">
        <v>337</v>
      </c>
      <c r="C10" s="113">
        <v>42</v>
      </c>
      <c r="D10" s="98"/>
      <c r="E10" s="98" t="s">
        <v>337</v>
      </c>
      <c r="F10" s="113">
        <v>52.36</v>
      </c>
      <c r="G10" s="98"/>
      <c r="H10" s="98" t="s">
        <v>337</v>
      </c>
      <c r="I10" s="114">
        <f t="shared" si="0"/>
        <v>94.36</v>
      </c>
      <c r="J10" s="98"/>
      <c r="K10" s="98"/>
    </row>
    <row r="11" spans="1:11" ht="21" x14ac:dyDescent="0.4">
      <c r="A11" s="98"/>
      <c r="B11" s="98" t="s">
        <v>338</v>
      </c>
      <c r="C11" s="100">
        <f>700-C9-C10</f>
        <v>605.5</v>
      </c>
      <c r="D11" s="98"/>
      <c r="E11" s="98" t="s">
        <v>338</v>
      </c>
      <c r="F11" s="100">
        <f>F8-F9-F10</f>
        <v>754.93999999999994</v>
      </c>
      <c r="G11" s="98"/>
      <c r="H11" s="98" t="s">
        <v>338</v>
      </c>
      <c r="I11" s="101">
        <f>I8-I9-I10</f>
        <v>1360.44</v>
      </c>
      <c r="J11" s="98"/>
      <c r="K11" s="98"/>
    </row>
    <row r="12" spans="1:11" ht="21" x14ac:dyDescent="0.4">
      <c r="A12" s="98"/>
      <c r="B12" s="98" t="s">
        <v>313</v>
      </c>
      <c r="C12" s="100">
        <v>56</v>
      </c>
      <c r="D12" s="98"/>
      <c r="E12" s="98" t="s">
        <v>313</v>
      </c>
      <c r="F12" s="100">
        <v>69.819999999999993</v>
      </c>
      <c r="G12" s="98"/>
      <c r="H12" s="98" t="s">
        <v>313</v>
      </c>
      <c r="I12" s="101">
        <f t="shared" si="0"/>
        <v>125.82</v>
      </c>
      <c r="J12" s="98"/>
      <c r="K12" s="98"/>
    </row>
    <row r="13" spans="1:11" ht="21" x14ac:dyDescent="0.4">
      <c r="A13" s="98"/>
      <c r="B13" s="98" t="s">
        <v>314</v>
      </c>
      <c r="C13" s="100">
        <v>77.77</v>
      </c>
      <c r="D13" s="98"/>
      <c r="E13" s="98" t="s">
        <v>314</v>
      </c>
      <c r="F13" s="100">
        <v>96.97</v>
      </c>
      <c r="G13" s="98"/>
      <c r="H13" s="98" t="s">
        <v>314</v>
      </c>
      <c r="I13" s="101">
        <f t="shared" si="0"/>
        <v>174.74</v>
      </c>
      <c r="J13" s="98"/>
      <c r="K13" s="98"/>
    </row>
    <row r="14" spans="1:11" ht="21" x14ac:dyDescent="0.4">
      <c r="A14" s="98"/>
      <c r="B14" s="98" t="s">
        <v>315</v>
      </c>
      <c r="C14" s="100">
        <v>58.33</v>
      </c>
      <c r="D14" s="98"/>
      <c r="E14" s="98" t="s">
        <v>315</v>
      </c>
      <c r="F14" s="100">
        <v>72.73</v>
      </c>
      <c r="G14" s="98"/>
      <c r="H14" s="98" t="s">
        <v>315</v>
      </c>
      <c r="I14" s="101">
        <f t="shared" si="0"/>
        <v>131.06</v>
      </c>
      <c r="J14" s="98"/>
      <c r="K14" s="98"/>
    </row>
    <row r="15" spans="1:11" ht="21" x14ac:dyDescent="0.4">
      <c r="A15" s="98"/>
      <c r="B15" s="98" t="s">
        <v>53</v>
      </c>
      <c r="C15" s="100">
        <v>10.88</v>
      </c>
      <c r="D15" s="98"/>
      <c r="E15" s="98" t="s">
        <v>53</v>
      </c>
      <c r="F15" s="100">
        <v>13.58</v>
      </c>
      <c r="G15" s="98"/>
      <c r="H15" s="98" t="s">
        <v>53</v>
      </c>
      <c r="I15" s="101">
        <f t="shared" si="0"/>
        <v>24.46</v>
      </c>
      <c r="J15" s="98"/>
      <c r="K15" s="98"/>
    </row>
    <row r="16" spans="1:11" ht="21" x14ac:dyDescent="0.4">
      <c r="A16" s="98"/>
      <c r="B16" s="98" t="s">
        <v>316</v>
      </c>
      <c r="C16" s="100">
        <v>91</v>
      </c>
      <c r="D16" s="102" t="s">
        <v>319</v>
      </c>
      <c r="E16" s="98" t="s">
        <v>316</v>
      </c>
      <c r="F16" s="100">
        <v>130</v>
      </c>
      <c r="G16" s="102" t="s">
        <v>339</v>
      </c>
      <c r="H16" s="98" t="s">
        <v>316</v>
      </c>
      <c r="I16" s="101">
        <f t="shared" si="0"/>
        <v>221</v>
      </c>
      <c r="J16" s="98"/>
      <c r="K16" s="98"/>
    </row>
    <row r="17" spans="1:11" ht="21" x14ac:dyDescent="0.4">
      <c r="A17" s="98"/>
      <c r="B17" s="98" t="s">
        <v>115</v>
      </c>
      <c r="C17" s="100">
        <v>150</v>
      </c>
      <c r="D17" s="98"/>
      <c r="E17" s="98" t="s">
        <v>115</v>
      </c>
      <c r="F17" s="100">
        <v>174</v>
      </c>
      <c r="G17" s="98"/>
      <c r="H17" s="98" t="s">
        <v>115</v>
      </c>
      <c r="I17" s="101">
        <f t="shared" si="0"/>
        <v>324</v>
      </c>
      <c r="J17" s="98"/>
      <c r="K17" s="98"/>
    </row>
    <row r="18" spans="1:11" ht="21" x14ac:dyDescent="0.4">
      <c r="A18" s="105" t="s">
        <v>318</v>
      </c>
      <c r="B18" s="105"/>
      <c r="C18" s="106">
        <f>C11+C12+C13+C14+C15+C16+C17</f>
        <v>1049.48</v>
      </c>
      <c r="D18" s="105"/>
      <c r="E18" s="105"/>
      <c r="F18" s="107">
        <f>F11+F12+F13+F14+F15+F16+F17</f>
        <v>1312.04</v>
      </c>
      <c r="G18" s="108"/>
      <c r="H18" s="108"/>
      <c r="I18" s="107">
        <f>I11+I12+I13+I14+I15+I16+I17</f>
        <v>2361.52</v>
      </c>
      <c r="J18" s="98"/>
      <c r="K18" s="98"/>
    </row>
    <row r="19" spans="1:11" ht="21" x14ac:dyDescent="0.4">
      <c r="A19" s="103"/>
      <c r="B19" s="103"/>
      <c r="C19" s="104"/>
      <c r="D19" s="103"/>
      <c r="E19" s="103"/>
      <c r="F19" s="103"/>
      <c r="G19" s="103"/>
      <c r="H19" s="103"/>
      <c r="I19" s="103"/>
      <c r="J19" s="98"/>
      <c r="K19" s="98"/>
    </row>
    <row r="20" spans="1:11" ht="21" x14ac:dyDescent="0.4">
      <c r="A20" s="98"/>
      <c r="B20" s="98" t="s">
        <v>311</v>
      </c>
      <c r="C20" s="98"/>
      <c r="D20" s="98"/>
      <c r="E20" s="98" t="s">
        <v>357</v>
      </c>
      <c r="F20" s="98"/>
      <c r="G20" s="98"/>
      <c r="H20" s="99" t="s">
        <v>325</v>
      </c>
      <c r="I20" s="98"/>
      <c r="J20" s="98"/>
      <c r="K20" s="98"/>
    </row>
    <row r="21" spans="1:11" ht="21" x14ac:dyDescent="0.4">
      <c r="A21" s="98"/>
      <c r="B21" s="98"/>
      <c r="C21" s="98"/>
      <c r="D21" s="98"/>
      <c r="E21" s="98"/>
      <c r="F21" s="98"/>
      <c r="G21" s="98"/>
      <c r="H21" s="98"/>
      <c r="I21" s="98"/>
      <c r="J21" s="98"/>
      <c r="K21" s="98"/>
    </row>
    <row r="22" spans="1:11" ht="21" x14ac:dyDescent="0.4">
      <c r="A22" s="98"/>
      <c r="B22" s="98" t="s">
        <v>312</v>
      </c>
      <c r="C22" s="100">
        <v>700</v>
      </c>
      <c r="D22" s="98"/>
      <c r="E22" s="98" t="s">
        <v>312</v>
      </c>
      <c r="F22" s="100">
        <v>2181.8200000000002</v>
      </c>
      <c r="G22" s="98"/>
      <c r="H22" s="98" t="s">
        <v>312</v>
      </c>
      <c r="I22" s="101">
        <f t="shared" ref="I22:I31" si="1">C22+F22</f>
        <v>2881.82</v>
      </c>
      <c r="J22" s="98"/>
      <c r="K22" s="98"/>
    </row>
    <row r="23" spans="1:11" ht="21" x14ac:dyDescent="0.4">
      <c r="A23" s="98"/>
      <c r="B23" s="98" t="s">
        <v>335</v>
      </c>
      <c r="C23" s="113">
        <v>52.5</v>
      </c>
      <c r="D23" s="98"/>
      <c r="E23" s="98" t="s">
        <v>336</v>
      </c>
      <c r="F23" s="113">
        <v>173.59</v>
      </c>
      <c r="G23" s="98"/>
      <c r="H23" s="98" t="s">
        <v>333</v>
      </c>
      <c r="I23" s="114">
        <f>C23+F23</f>
        <v>226.09</v>
      </c>
      <c r="J23" s="98"/>
      <c r="K23" s="98"/>
    </row>
    <row r="24" spans="1:11" ht="21" x14ac:dyDescent="0.4">
      <c r="A24" s="98"/>
      <c r="B24" s="98" t="s">
        <v>340</v>
      </c>
      <c r="C24" s="113">
        <v>42</v>
      </c>
      <c r="D24" s="98"/>
      <c r="E24" s="98" t="s">
        <v>337</v>
      </c>
      <c r="F24" s="113">
        <v>130.91</v>
      </c>
      <c r="G24" s="98"/>
      <c r="H24" s="98" t="s">
        <v>337</v>
      </c>
      <c r="I24" s="114">
        <f>C24+F24</f>
        <v>172.91</v>
      </c>
      <c r="J24" s="98"/>
      <c r="K24" s="98"/>
    </row>
    <row r="25" spans="1:11" ht="21" x14ac:dyDescent="0.4">
      <c r="A25" s="98"/>
      <c r="B25" s="98" t="s">
        <v>341</v>
      </c>
      <c r="C25" s="100">
        <f>C22-C23-C24</f>
        <v>605.5</v>
      </c>
      <c r="D25" s="98"/>
      <c r="E25" s="98" t="s">
        <v>341</v>
      </c>
      <c r="F25" s="100">
        <f>F22-F23-F24</f>
        <v>1877.3200000000002</v>
      </c>
      <c r="G25" s="98"/>
      <c r="H25" s="98" t="s">
        <v>338</v>
      </c>
      <c r="I25" s="101">
        <f>I22-I23-I24</f>
        <v>2482.8200000000002</v>
      </c>
      <c r="J25" s="98"/>
      <c r="K25" s="98"/>
    </row>
    <row r="26" spans="1:11" ht="21" x14ac:dyDescent="0.4">
      <c r="A26" s="98"/>
      <c r="B26" s="98" t="s">
        <v>313</v>
      </c>
      <c r="C26" s="100">
        <v>56</v>
      </c>
      <c r="D26" s="98"/>
      <c r="E26" s="98" t="s">
        <v>313</v>
      </c>
      <c r="F26" s="100">
        <v>174.55</v>
      </c>
      <c r="G26" s="98"/>
      <c r="H26" s="98" t="s">
        <v>313</v>
      </c>
      <c r="I26" s="101">
        <f t="shared" si="1"/>
        <v>230.55</v>
      </c>
      <c r="J26" s="98"/>
      <c r="K26" s="98"/>
    </row>
    <row r="27" spans="1:11" ht="21" x14ac:dyDescent="0.4">
      <c r="A27" s="98"/>
      <c r="B27" s="98" t="s">
        <v>314</v>
      </c>
      <c r="C27" s="100">
        <v>77.77</v>
      </c>
      <c r="D27" s="98"/>
      <c r="E27" s="98" t="s">
        <v>314</v>
      </c>
      <c r="F27" s="100">
        <v>242.42</v>
      </c>
      <c r="G27" s="98"/>
      <c r="H27" s="98" t="s">
        <v>314</v>
      </c>
      <c r="I27" s="101">
        <f t="shared" si="1"/>
        <v>320.19</v>
      </c>
      <c r="J27" s="98"/>
      <c r="K27" s="98"/>
    </row>
    <row r="28" spans="1:11" ht="21" x14ac:dyDescent="0.4">
      <c r="A28" s="98"/>
      <c r="B28" s="98" t="s">
        <v>315</v>
      </c>
      <c r="C28" s="100">
        <v>58.33</v>
      </c>
      <c r="D28" s="98"/>
      <c r="E28" s="98" t="s">
        <v>315</v>
      </c>
      <c r="F28" s="100">
        <v>181.82</v>
      </c>
      <c r="G28" s="98"/>
      <c r="H28" s="98" t="s">
        <v>315</v>
      </c>
      <c r="I28" s="101">
        <f t="shared" si="1"/>
        <v>240.14999999999998</v>
      </c>
      <c r="J28" s="98"/>
      <c r="K28" s="98"/>
    </row>
    <row r="29" spans="1:11" ht="21" x14ac:dyDescent="0.4">
      <c r="A29" s="98"/>
      <c r="B29" s="98" t="s">
        <v>53</v>
      </c>
      <c r="C29" s="100">
        <v>10.88</v>
      </c>
      <c r="D29" s="98"/>
      <c r="E29" s="98" t="s">
        <v>53</v>
      </c>
      <c r="F29" s="100">
        <v>33.94</v>
      </c>
      <c r="G29" s="98"/>
      <c r="H29" s="98" t="s">
        <v>53</v>
      </c>
      <c r="I29" s="101">
        <f t="shared" si="1"/>
        <v>44.82</v>
      </c>
      <c r="J29" s="98"/>
      <c r="K29" s="98"/>
    </row>
    <row r="30" spans="1:11" ht="21" x14ac:dyDescent="0.4">
      <c r="A30" s="98"/>
      <c r="B30" s="98" t="s">
        <v>316</v>
      </c>
      <c r="C30" s="100">
        <v>104</v>
      </c>
      <c r="D30" s="102" t="s">
        <v>317</v>
      </c>
      <c r="E30" s="98" t="s">
        <v>316</v>
      </c>
      <c r="F30" s="100">
        <v>260</v>
      </c>
      <c r="G30" s="102" t="s">
        <v>323</v>
      </c>
      <c r="H30" s="98" t="s">
        <v>316</v>
      </c>
      <c r="I30" s="101">
        <f t="shared" si="1"/>
        <v>364</v>
      </c>
      <c r="J30" s="98"/>
      <c r="K30" s="98"/>
    </row>
    <row r="31" spans="1:11" ht="21" x14ac:dyDescent="0.4">
      <c r="A31" s="98"/>
      <c r="B31" s="98" t="s">
        <v>115</v>
      </c>
      <c r="C31" s="100">
        <v>150</v>
      </c>
      <c r="D31" s="98"/>
      <c r="E31" s="98" t="s">
        <v>115</v>
      </c>
      <c r="F31" s="100">
        <v>290</v>
      </c>
      <c r="G31" s="98"/>
      <c r="H31" s="98" t="s">
        <v>115</v>
      </c>
      <c r="I31" s="101">
        <f t="shared" si="1"/>
        <v>440</v>
      </c>
      <c r="J31" s="98"/>
      <c r="K31" s="98"/>
    </row>
    <row r="32" spans="1:11" ht="21" x14ac:dyDescent="0.4">
      <c r="A32" s="105" t="s">
        <v>318</v>
      </c>
      <c r="B32" s="105"/>
      <c r="C32" s="106">
        <f>C25+C26+C27+C28+C29+C30+C31</f>
        <v>1062.48</v>
      </c>
      <c r="D32" s="105"/>
      <c r="E32" s="105"/>
      <c r="F32" s="107">
        <f>F25+F26+F27+F28+F29+F30+F31</f>
        <v>3060.0500000000006</v>
      </c>
      <c r="G32" s="108"/>
      <c r="H32" s="108"/>
      <c r="I32" s="107">
        <f>I25+I26+I27+I28+I29+I30+I31</f>
        <v>4122.5300000000007</v>
      </c>
      <c r="J32" s="98"/>
      <c r="K32" s="98"/>
    </row>
    <row r="33" spans="1:11" ht="21" x14ac:dyDescent="0.4">
      <c r="A33" s="103"/>
      <c r="B33" s="103"/>
      <c r="C33" s="103"/>
      <c r="D33" s="103"/>
      <c r="E33" s="103"/>
      <c r="F33" s="103"/>
      <c r="G33" s="103"/>
      <c r="H33" s="103"/>
      <c r="I33" s="103"/>
      <c r="J33" s="98"/>
      <c r="K33" s="98"/>
    </row>
    <row r="34" spans="1:11" ht="21" x14ac:dyDescent="0.4">
      <c r="A34" s="98"/>
      <c r="B34" s="98" t="s">
        <v>311</v>
      </c>
      <c r="C34" s="98"/>
      <c r="D34" s="98"/>
      <c r="E34" s="98" t="s">
        <v>357</v>
      </c>
      <c r="F34" s="98"/>
      <c r="G34" s="98"/>
      <c r="H34" s="99" t="s">
        <v>326</v>
      </c>
      <c r="I34" s="98"/>
      <c r="J34" s="98"/>
      <c r="K34" s="98"/>
    </row>
    <row r="35" spans="1:11" ht="21" x14ac:dyDescent="0.4">
      <c r="A35" s="98"/>
      <c r="B35" s="98"/>
      <c r="C35" s="98"/>
      <c r="D35" s="98"/>
      <c r="E35" s="98"/>
      <c r="F35" s="98"/>
      <c r="G35" s="98"/>
      <c r="H35" s="98"/>
      <c r="I35" s="98"/>
      <c r="J35" s="98"/>
      <c r="K35" s="98"/>
    </row>
    <row r="36" spans="1:11" ht="21" x14ac:dyDescent="0.4">
      <c r="A36" s="98"/>
      <c r="B36" s="98" t="s">
        <v>312</v>
      </c>
      <c r="C36" s="100">
        <v>700</v>
      </c>
      <c r="D36" s="98"/>
      <c r="E36" s="98" t="s">
        <v>312</v>
      </c>
      <c r="F36" s="100">
        <v>2181.8200000000002</v>
      </c>
      <c r="G36" s="98"/>
      <c r="H36" s="98" t="s">
        <v>312</v>
      </c>
      <c r="I36" s="101">
        <f t="shared" ref="I36:I45" si="2">C36+F36</f>
        <v>2881.82</v>
      </c>
      <c r="J36" s="98"/>
      <c r="K36" s="98"/>
    </row>
    <row r="37" spans="1:11" ht="21" x14ac:dyDescent="0.4">
      <c r="A37" s="98"/>
      <c r="B37" s="98" t="s">
        <v>335</v>
      </c>
      <c r="C37" s="113">
        <v>52.5</v>
      </c>
      <c r="D37" s="98"/>
      <c r="E37" s="98" t="s">
        <v>336</v>
      </c>
      <c r="F37" s="113">
        <v>173.59</v>
      </c>
      <c r="G37" s="98"/>
      <c r="H37" s="98" t="s">
        <v>333</v>
      </c>
      <c r="I37" s="114">
        <f>C37+F37</f>
        <v>226.09</v>
      </c>
      <c r="J37" s="98"/>
      <c r="K37" s="98"/>
    </row>
    <row r="38" spans="1:11" ht="21" x14ac:dyDescent="0.4">
      <c r="A38" s="98"/>
      <c r="B38" s="98" t="s">
        <v>340</v>
      </c>
      <c r="C38" s="113">
        <v>42</v>
      </c>
      <c r="D38" s="98"/>
      <c r="E38" s="98" t="s">
        <v>337</v>
      </c>
      <c r="F38" s="113">
        <v>130.91</v>
      </c>
      <c r="G38" s="98"/>
      <c r="H38" s="98" t="s">
        <v>337</v>
      </c>
      <c r="I38" s="114">
        <f>C38+F38</f>
        <v>172.91</v>
      </c>
      <c r="J38" s="98"/>
      <c r="K38" s="98"/>
    </row>
    <row r="39" spans="1:11" ht="28.2" customHeight="1" x14ac:dyDescent="0.4">
      <c r="A39" s="98"/>
      <c r="B39" s="98" t="s">
        <v>341</v>
      </c>
      <c r="C39" s="100">
        <f>C36-C37-C38</f>
        <v>605.5</v>
      </c>
      <c r="D39" s="98"/>
      <c r="E39" s="98" t="s">
        <v>341</v>
      </c>
      <c r="F39" s="100">
        <f>F36-F37-F38</f>
        <v>1877.3200000000002</v>
      </c>
      <c r="G39" s="98"/>
      <c r="H39" s="98" t="s">
        <v>338</v>
      </c>
      <c r="I39" s="101">
        <f>I36-I37-I38</f>
        <v>2482.8200000000002</v>
      </c>
      <c r="J39" s="98"/>
      <c r="K39" s="98"/>
    </row>
    <row r="40" spans="1:11" ht="21" x14ac:dyDescent="0.4">
      <c r="A40" s="98"/>
      <c r="B40" s="98" t="s">
        <v>313</v>
      </c>
      <c r="C40" s="100">
        <v>56</v>
      </c>
      <c r="D40" s="98"/>
      <c r="E40" s="98" t="s">
        <v>313</v>
      </c>
      <c r="F40" s="100">
        <v>174.55</v>
      </c>
      <c r="G40" s="98"/>
      <c r="H40" s="98" t="s">
        <v>313</v>
      </c>
      <c r="I40" s="101">
        <f t="shared" si="2"/>
        <v>230.55</v>
      </c>
      <c r="J40" s="98"/>
      <c r="K40" s="98"/>
    </row>
    <row r="41" spans="1:11" ht="21" x14ac:dyDescent="0.4">
      <c r="A41" s="98"/>
      <c r="B41" s="98" t="s">
        <v>314</v>
      </c>
      <c r="C41" s="100">
        <v>77.77</v>
      </c>
      <c r="D41" s="98"/>
      <c r="E41" s="98" t="s">
        <v>314</v>
      </c>
      <c r="F41" s="100">
        <v>242.42</v>
      </c>
      <c r="G41" s="98"/>
      <c r="H41" s="98" t="s">
        <v>314</v>
      </c>
      <c r="I41" s="101">
        <f t="shared" si="2"/>
        <v>320.19</v>
      </c>
      <c r="J41" s="98"/>
      <c r="K41" s="98"/>
    </row>
    <row r="42" spans="1:11" ht="21" x14ac:dyDescent="0.4">
      <c r="A42" s="98"/>
      <c r="B42" s="98" t="s">
        <v>315</v>
      </c>
      <c r="C42" s="100">
        <v>58.33</v>
      </c>
      <c r="D42" s="98"/>
      <c r="E42" s="98" t="s">
        <v>315</v>
      </c>
      <c r="F42" s="100">
        <v>181.82</v>
      </c>
      <c r="G42" s="98"/>
      <c r="H42" s="98" t="s">
        <v>315</v>
      </c>
      <c r="I42" s="101">
        <f t="shared" si="2"/>
        <v>240.14999999999998</v>
      </c>
      <c r="J42" s="98"/>
      <c r="K42" s="98"/>
    </row>
    <row r="43" spans="1:11" ht="21" x14ac:dyDescent="0.4">
      <c r="A43" s="98"/>
      <c r="B43" s="98" t="s">
        <v>53</v>
      </c>
      <c r="C43" s="100">
        <v>10.88</v>
      </c>
      <c r="D43" s="98"/>
      <c r="E43" s="98" t="s">
        <v>53</v>
      </c>
      <c r="F43" s="100">
        <v>33.94</v>
      </c>
      <c r="G43" s="98"/>
      <c r="H43" s="98" t="s">
        <v>53</v>
      </c>
      <c r="I43" s="101">
        <f t="shared" si="2"/>
        <v>44.82</v>
      </c>
      <c r="J43" s="98"/>
      <c r="K43" s="98"/>
    </row>
    <row r="44" spans="1:11" ht="21" x14ac:dyDescent="0.4">
      <c r="A44" s="98"/>
      <c r="B44" s="98" t="s">
        <v>316</v>
      </c>
      <c r="C44" s="100">
        <v>91</v>
      </c>
      <c r="D44" s="102" t="s">
        <v>319</v>
      </c>
      <c r="E44" s="98" t="s">
        <v>316</v>
      </c>
      <c r="F44" s="100">
        <v>234</v>
      </c>
      <c r="G44" s="102" t="s">
        <v>322</v>
      </c>
      <c r="H44" s="98" t="s">
        <v>316</v>
      </c>
      <c r="I44" s="101">
        <f t="shared" si="2"/>
        <v>325</v>
      </c>
      <c r="J44" s="98"/>
      <c r="K44" s="98"/>
    </row>
    <row r="45" spans="1:11" ht="21" x14ac:dyDescent="0.4">
      <c r="A45" s="98"/>
      <c r="B45" s="98" t="s">
        <v>115</v>
      </c>
      <c r="C45" s="100">
        <v>150</v>
      </c>
      <c r="D45" s="98"/>
      <c r="E45" s="98" t="s">
        <v>115</v>
      </c>
      <c r="F45" s="100">
        <v>290</v>
      </c>
      <c r="G45" s="98"/>
      <c r="H45" s="98" t="s">
        <v>115</v>
      </c>
      <c r="I45" s="101">
        <f t="shared" si="2"/>
        <v>440</v>
      </c>
      <c r="J45" s="98"/>
      <c r="K45" s="98"/>
    </row>
    <row r="46" spans="1:11" ht="21" x14ac:dyDescent="0.4">
      <c r="A46" s="105" t="s">
        <v>318</v>
      </c>
      <c r="B46" s="105"/>
      <c r="C46" s="106">
        <f>C39+C40+C41+C42+C43+C44+C45</f>
        <v>1049.48</v>
      </c>
      <c r="D46" s="105"/>
      <c r="E46" s="105"/>
      <c r="F46" s="107">
        <f>F39+F40+F41+F42+F43+F44+F45</f>
        <v>3034.0500000000006</v>
      </c>
      <c r="G46" s="108"/>
      <c r="H46" s="108"/>
      <c r="I46" s="107">
        <f>I39+I40+I41+I42+I43+I44+I45</f>
        <v>4083.5300000000007</v>
      </c>
      <c r="J46" s="98"/>
      <c r="K46" s="98"/>
    </row>
    <row r="47" spans="1:11" ht="21" x14ac:dyDescent="0.4">
      <c r="A47" s="103"/>
      <c r="B47" s="103"/>
      <c r="C47" s="103"/>
      <c r="D47" s="103"/>
      <c r="E47" s="103"/>
      <c r="F47" s="103"/>
      <c r="G47" s="103"/>
      <c r="H47" s="103"/>
      <c r="I47" s="103"/>
      <c r="J47" s="98"/>
      <c r="K47" s="98"/>
    </row>
    <row r="48" spans="1:11" ht="21" x14ac:dyDescent="0.4">
      <c r="A48" s="115" t="s">
        <v>320</v>
      </c>
      <c r="B48" s="116"/>
      <c r="C48" s="117">
        <f>C18+C46+C32</f>
        <v>3161.44</v>
      </c>
      <c r="D48" s="115"/>
      <c r="E48" s="115"/>
      <c r="F48" s="117">
        <f>F18+F32+F46</f>
        <v>7406.1400000000012</v>
      </c>
      <c r="G48" s="115"/>
      <c r="H48" s="115"/>
      <c r="I48" s="117">
        <f>I18+I32+I46</f>
        <v>10567.580000000002</v>
      </c>
      <c r="J48" s="98"/>
      <c r="K48" s="98"/>
    </row>
    <row r="49" spans="1:11" ht="21" x14ac:dyDescent="0.4">
      <c r="A49" s="109"/>
      <c r="B49" s="110"/>
      <c r="C49" s="111"/>
      <c r="D49" s="109"/>
      <c r="E49" s="109"/>
      <c r="F49" s="111"/>
      <c r="G49" s="109"/>
      <c r="H49" s="109"/>
      <c r="I49" s="111"/>
      <c r="J49" s="98"/>
      <c r="K49" s="98"/>
    </row>
    <row r="50" spans="1:11" ht="24.6" x14ac:dyDescent="0.4">
      <c r="A50" s="141" t="s">
        <v>332</v>
      </c>
      <c r="B50" s="141"/>
      <c r="C50" s="111"/>
      <c r="D50" s="109"/>
      <c r="E50" s="109"/>
      <c r="F50" s="111"/>
      <c r="G50" s="109"/>
      <c r="H50" s="109"/>
      <c r="I50" s="111"/>
      <c r="J50" s="98"/>
      <c r="K50" s="98"/>
    </row>
    <row r="51" spans="1:11" ht="21" x14ac:dyDescent="0.4">
      <c r="A51" s="98"/>
      <c r="B51" s="98"/>
      <c r="C51" s="98"/>
      <c r="D51" s="98"/>
      <c r="E51" s="98"/>
      <c r="F51" s="98"/>
      <c r="G51" s="98"/>
      <c r="H51" s="98"/>
      <c r="I51" s="98"/>
      <c r="J51" s="98"/>
      <c r="K51" s="98"/>
    </row>
    <row r="52" spans="1:11" ht="21" x14ac:dyDescent="0.4">
      <c r="A52" s="98"/>
      <c r="B52" s="98" t="s">
        <v>311</v>
      </c>
      <c r="C52" s="98"/>
      <c r="D52" s="98"/>
      <c r="E52" s="98" t="s">
        <v>357</v>
      </c>
      <c r="F52" s="98"/>
      <c r="G52" s="98"/>
      <c r="H52" s="99" t="s">
        <v>327</v>
      </c>
      <c r="I52" s="98"/>
      <c r="J52" s="98"/>
      <c r="K52" s="98"/>
    </row>
    <row r="53" spans="1:11" ht="21" x14ac:dyDescent="0.4">
      <c r="A53" s="98"/>
      <c r="B53" s="98"/>
      <c r="C53" s="98"/>
      <c r="D53" s="98"/>
      <c r="E53" s="98"/>
      <c r="F53" s="98"/>
      <c r="G53" s="98"/>
      <c r="H53" s="98"/>
      <c r="I53" s="98"/>
      <c r="J53" s="98"/>
      <c r="K53" s="98"/>
    </row>
    <row r="54" spans="1:11" ht="21" x14ac:dyDescent="0.4">
      <c r="A54" s="98"/>
      <c r="B54" s="98" t="s">
        <v>312</v>
      </c>
      <c r="C54" s="100">
        <v>700</v>
      </c>
      <c r="D54" s="98"/>
      <c r="E54" s="98" t="s">
        <v>312</v>
      </c>
      <c r="F54" s="100">
        <v>2181.8200000000002</v>
      </c>
      <c r="G54" s="98"/>
      <c r="H54" s="98" t="s">
        <v>312</v>
      </c>
      <c r="I54" s="101">
        <f t="shared" ref="I54:I63" si="3">C54+F54</f>
        <v>2881.82</v>
      </c>
      <c r="J54" s="98"/>
      <c r="K54" s="98"/>
    </row>
    <row r="55" spans="1:11" ht="21" x14ac:dyDescent="0.4">
      <c r="A55" s="98"/>
      <c r="B55" s="98" t="s">
        <v>335</v>
      </c>
      <c r="C55" s="113">
        <v>52.5</v>
      </c>
      <c r="D55" s="98"/>
      <c r="E55" s="98" t="s">
        <v>336</v>
      </c>
      <c r="F55" s="113">
        <v>173.59</v>
      </c>
      <c r="G55" s="98"/>
      <c r="H55" s="98" t="s">
        <v>333</v>
      </c>
      <c r="I55" s="114">
        <f>C55+F55</f>
        <v>226.09</v>
      </c>
      <c r="J55" s="98"/>
      <c r="K55" s="98"/>
    </row>
    <row r="56" spans="1:11" ht="21" x14ac:dyDescent="0.4">
      <c r="A56" s="98"/>
      <c r="B56" s="98" t="s">
        <v>340</v>
      </c>
      <c r="C56" s="113">
        <v>42</v>
      </c>
      <c r="D56" s="98"/>
      <c r="E56" s="98" t="s">
        <v>337</v>
      </c>
      <c r="F56" s="113">
        <v>130.91</v>
      </c>
      <c r="G56" s="98"/>
      <c r="H56" s="98" t="s">
        <v>337</v>
      </c>
      <c r="I56" s="114">
        <f>C56+F56</f>
        <v>172.91</v>
      </c>
      <c r="J56" s="98"/>
      <c r="K56" s="98"/>
    </row>
    <row r="57" spans="1:11" ht="21" x14ac:dyDescent="0.4">
      <c r="A57" s="98"/>
      <c r="B57" s="98" t="s">
        <v>341</v>
      </c>
      <c r="C57" s="100">
        <f>C54-C55-C56</f>
        <v>605.5</v>
      </c>
      <c r="D57" s="98"/>
      <c r="E57" s="98" t="s">
        <v>341</v>
      </c>
      <c r="F57" s="100">
        <f>F54-F55-F56</f>
        <v>1877.3200000000002</v>
      </c>
      <c r="G57" s="98"/>
      <c r="H57" s="98" t="s">
        <v>338</v>
      </c>
      <c r="I57" s="101">
        <f>I54-I55-I56</f>
        <v>2482.8200000000002</v>
      </c>
      <c r="J57" s="98"/>
      <c r="K57" s="98"/>
    </row>
    <row r="58" spans="1:11" ht="21" x14ac:dyDescent="0.4">
      <c r="A58" s="98"/>
      <c r="B58" s="98" t="s">
        <v>313</v>
      </c>
      <c r="C58" s="100">
        <v>56</v>
      </c>
      <c r="D58" s="98"/>
      <c r="E58" s="98" t="s">
        <v>313</v>
      </c>
      <c r="F58" s="100">
        <v>174.55</v>
      </c>
      <c r="G58" s="98"/>
      <c r="H58" s="98" t="s">
        <v>313</v>
      </c>
      <c r="I58" s="101">
        <f t="shared" si="3"/>
        <v>230.55</v>
      </c>
      <c r="J58" s="98"/>
      <c r="K58" s="98"/>
    </row>
    <row r="59" spans="1:11" ht="21" x14ac:dyDescent="0.4">
      <c r="A59" s="98"/>
      <c r="B59" s="98" t="s">
        <v>314</v>
      </c>
      <c r="C59" s="100">
        <v>77.77</v>
      </c>
      <c r="D59" s="98"/>
      <c r="E59" s="98" t="s">
        <v>314</v>
      </c>
      <c r="F59" s="100">
        <v>242.42</v>
      </c>
      <c r="G59" s="98"/>
      <c r="H59" s="98" t="s">
        <v>314</v>
      </c>
      <c r="I59" s="101">
        <f t="shared" si="3"/>
        <v>320.19</v>
      </c>
      <c r="J59" s="98"/>
      <c r="K59" s="98"/>
    </row>
    <row r="60" spans="1:11" ht="21" x14ac:dyDescent="0.4">
      <c r="A60" s="98"/>
      <c r="B60" s="98" t="s">
        <v>315</v>
      </c>
      <c r="C60" s="100">
        <v>58.33</v>
      </c>
      <c r="D60" s="98"/>
      <c r="E60" s="98" t="s">
        <v>315</v>
      </c>
      <c r="F60" s="100">
        <v>181.82</v>
      </c>
      <c r="G60" s="98"/>
      <c r="H60" s="98" t="s">
        <v>315</v>
      </c>
      <c r="I60" s="101">
        <f t="shared" si="3"/>
        <v>240.14999999999998</v>
      </c>
      <c r="J60" s="98"/>
      <c r="K60" s="98"/>
    </row>
    <row r="61" spans="1:11" ht="21" x14ac:dyDescent="0.4">
      <c r="A61" s="98"/>
      <c r="B61" s="98" t="s">
        <v>53</v>
      </c>
      <c r="C61" s="100">
        <v>10.88</v>
      </c>
      <c r="D61" s="98"/>
      <c r="E61" s="98" t="s">
        <v>53</v>
      </c>
      <c r="F61" s="100">
        <v>33.94</v>
      </c>
      <c r="G61" s="98"/>
      <c r="H61" s="98" t="s">
        <v>53</v>
      </c>
      <c r="I61" s="101">
        <f t="shared" si="3"/>
        <v>44.82</v>
      </c>
      <c r="J61" s="98"/>
      <c r="K61" s="98"/>
    </row>
    <row r="62" spans="1:11" ht="21" x14ac:dyDescent="0.4">
      <c r="A62" s="98"/>
      <c r="B62" s="98" t="s">
        <v>316</v>
      </c>
      <c r="C62" s="100">
        <v>117</v>
      </c>
      <c r="D62" s="102" t="s">
        <v>321</v>
      </c>
      <c r="E62" s="98" t="s">
        <v>316</v>
      </c>
      <c r="F62" s="100">
        <v>260</v>
      </c>
      <c r="G62" s="102" t="s">
        <v>323</v>
      </c>
      <c r="H62" s="98" t="s">
        <v>316</v>
      </c>
      <c r="I62" s="101">
        <f t="shared" si="3"/>
        <v>377</v>
      </c>
      <c r="J62" s="98"/>
      <c r="K62" s="98"/>
    </row>
    <row r="63" spans="1:11" ht="21" x14ac:dyDescent="0.4">
      <c r="A63" s="98"/>
      <c r="B63" s="98" t="s">
        <v>115</v>
      </c>
      <c r="C63" s="100">
        <v>150</v>
      </c>
      <c r="D63" s="98"/>
      <c r="E63" s="98" t="s">
        <v>115</v>
      </c>
      <c r="F63" s="100">
        <v>290</v>
      </c>
      <c r="G63" s="98"/>
      <c r="H63" s="98" t="s">
        <v>115</v>
      </c>
      <c r="I63" s="101">
        <f t="shared" si="3"/>
        <v>440</v>
      </c>
      <c r="J63" s="98"/>
      <c r="K63" s="98"/>
    </row>
    <row r="64" spans="1:11" ht="21" x14ac:dyDescent="0.4">
      <c r="A64" s="105" t="s">
        <v>318</v>
      </c>
      <c r="B64" s="105"/>
      <c r="C64" s="106">
        <f>C57+C58+C59+C60+C61+C62+C63</f>
        <v>1075.48</v>
      </c>
      <c r="D64" s="105"/>
      <c r="E64" s="105"/>
      <c r="F64" s="107">
        <f>F57+F58+F59+F60+F61+F62+F63</f>
        <v>3060.0500000000006</v>
      </c>
      <c r="G64" s="108"/>
      <c r="H64" s="108"/>
      <c r="I64" s="107">
        <f>I57+I58+I59+I60+I61+I62+I63</f>
        <v>4135.5300000000007</v>
      </c>
      <c r="J64" s="98"/>
      <c r="K64" s="98"/>
    </row>
    <row r="65" spans="1:11" ht="21" x14ac:dyDescent="0.4">
      <c r="A65" s="103"/>
      <c r="B65" s="103"/>
      <c r="C65" s="104"/>
      <c r="D65" s="103"/>
      <c r="E65" s="103"/>
      <c r="F65" s="103"/>
      <c r="G65" s="103"/>
      <c r="H65" s="103"/>
      <c r="I65" s="103"/>
      <c r="J65" s="98"/>
      <c r="K65" s="98"/>
    </row>
    <row r="66" spans="1:11" ht="21" x14ac:dyDescent="0.4">
      <c r="A66" s="98"/>
      <c r="B66" s="98" t="s">
        <v>311</v>
      </c>
      <c r="C66" s="98"/>
      <c r="D66" s="98"/>
      <c r="E66" s="98" t="s">
        <v>357</v>
      </c>
      <c r="F66" s="98"/>
      <c r="G66" s="98"/>
      <c r="H66" s="99" t="s">
        <v>328</v>
      </c>
      <c r="I66" s="98"/>
      <c r="J66" s="98"/>
      <c r="K66" s="98"/>
    </row>
    <row r="67" spans="1:11" ht="21" x14ac:dyDescent="0.4">
      <c r="A67" s="98"/>
      <c r="B67" s="98"/>
      <c r="C67" s="98"/>
      <c r="D67" s="98"/>
      <c r="E67" s="98"/>
      <c r="F67" s="98"/>
      <c r="G67" s="98"/>
      <c r="H67" s="98"/>
      <c r="I67" s="98"/>
      <c r="J67" s="98"/>
      <c r="K67" s="98"/>
    </row>
    <row r="68" spans="1:11" ht="21" x14ac:dyDescent="0.4">
      <c r="A68" s="98"/>
      <c r="B68" s="98" t="s">
        <v>312</v>
      </c>
      <c r="C68" s="100">
        <v>700</v>
      </c>
      <c r="D68" s="98"/>
      <c r="E68" s="98" t="s">
        <v>312</v>
      </c>
      <c r="F68" s="100">
        <v>2181.8200000000002</v>
      </c>
      <c r="G68" s="98"/>
      <c r="H68" s="98" t="s">
        <v>312</v>
      </c>
      <c r="I68" s="101">
        <f t="shared" ref="I68:I77" si="4">C68+F68</f>
        <v>2881.82</v>
      </c>
      <c r="J68" s="98"/>
      <c r="K68" s="98"/>
    </row>
    <row r="69" spans="1:11" ht="21" x14ac:dyDescent="0.4">
      <c r="A69" s="98"/>
      <c r="B69" s="98" t="s">
        <v>335</v>
      </c>
      <c r="C69" s="113">
        <v>52.5</v>
      </c>
      <c r="D69" s="98"/>
      <c r="E69" s="98" t="s">
        <v>336</v>
      </c>
      <c r="F69" s="113">
        <v>173.59</v>
      </c>
      <c r="G69" s="98"/>
      <c r="H69" s="98" t="s">
        <v>333</v>
      </c>
      <c r="I69" s="114">
        <f>C69+F69</f>
        <v>226.09</v>
      </c>
      <c r="J69" s="98"/>
      <c r="K69" s="98"/>
    </row>
    <row r="70" spans="1:11" ht="21" x14ac:dyDescent="0.4">
      <c r="A70" s="98"/>
      <c r="B70" s="98" t="s">
        <v>340</v>
      </c>
      <c r="C70" s="113">
        <v>42</v>
      </c>
      <c r="D70" s="98"/>
      <c r="E70" s="98" t="s">
        <v>337</v>
      </c>
      <c r="F70" s="113">
        <v>130.91</v>
      </c>
      <c r="G70" s="98"/>
      <c r="H70" s="98" t="s">
        <v>337</v>
      </c>
      <c r="I70" s="114">
        <f>C70+F70</f>
        <v>172.91</v>
      </c>
      <c r="J70" s="98"/>
      <c r="K70" s="98"/>
    </row>
    <row r="71" spans="1:11" ht="21" x14ac:dyDescent="0.4">
      <c r="A71" s="98"/>
      <c r="B71" s="98" t="s">
        <v>341</v>
      </c>
      <c r="C71" s="100">
        <f>C68-C69-C70</f>
        <v>605.5</v>
      </c>
      <c r="D71" s="98"/>
      <c r="E71" s="98" t="s">
        <v>341</v>
      </c>
      <c r="F71" s="100">
        <f>F68-F69-F70</f>
        <v>1877.3200000000002</v>
      </c>
      <c r="G71" s="98"/>
      <c r="H71" s="98" t="s">
        <v>338</v>
      </c>
      <c r="I71" s="101">
        <f>I68-I69-I70</f>
        <v>2482.8200000000002</v>
      </c>
      <c r="J71" s="98"/>
      <c r="K71" s="98"/>
    </row>
    <row r="72" spans="1:11" ht="21" x14ac:dyDescent="0.4">
      <c r="A72" s="98"/>
      <c r="B72" s="98" t="s">
        <v>313</v>
      </c>
      <c r="C72" s="100">
        <v>56</v>
      </c>
      <c r="D72" s="98"/>
      <c r="E72" s="98" t="s">
        <v>313</v>
      </c>
      <c r="F72" s="100">
        <v>174.55</v>
      </c>
      <c r="G72" s="98"/>
      <c r="H72" s="98" t="s">
        <v>313</v>
      </c>
      <c r="I72" s="101">
        <f t="shared" si="4"/>
        <v>230.55</v>
      </c>
      <c r="J72" s="98"/>
      <c r="K72" s="98"/>
    </row>
    <row r="73" spans="1:11" ht="21" x14ac:dyDescent="0.4">
      <c r="A73" s="98"/>
      <c r="B73" s="98" t="s">
        <v>314</v>
      </c>
      <c r="C73" s="100">
        <v>77.77</v>
      </c>
      <c r="D73" s="98"/>
      <c r="E73" s="98" t="s">
        <v>314</v>
      </c>
      <c r="F73" s="100">
        <v>242.42</v>
      </c>
      <c r="G73" s="98"/>
      <c r="H73" s="98" t="s">
        <v>314</v>
      </c>
      <c r="I73" s="101">
        <f t="shared" si="4"/>
        <v>320.19</v>
      </c>
      <c r="J73" s="98"/>
      <c r="K73" s="98"/>
    </row>
    <row r="74" spans="1:11" ht="21" x14ac:dyDescent="0.4">
      <c r="A74" s="98"/>
      <c r="B74" s="98" t="s">
        <v>315</v>
      </c>
      <c r="C74" s="100">
        <v>58.33</v>
      </c>
      <c r="D74" s="98"/>
      <c r="E74" s="98" t="s">
        <v>315</v>
      </c>
      <c r="F74" s="100">
        <v>181.82</v>
      </c>
      <c r="G74" s="98"/>
      <c r="H74" s="98" t="s">
        <v>315</v>
      </c>
      <c r="I74" s="101">
        <f t="shared" si="4"/>
        <v>240.14999999999998</v>
      </c>
      <c r="J74" s="98"/>
      <c r="K74" s="98"/>
    </row>
    <row r="75" spans="1:11" ht="21" x14ac:dyDescent="0.4">
      <c r="A75" s="98"/>
      <c r="B75" s="98" t="s">
        <v>53</v>
      </c>
      <c r="C75" s="100">
        <v>10.88</v>
      </c>
      <c r="D75" s="98"/>
      <c r="E75" s="98" t="s">
        <v>53</v>
      </c>
      <c r="F75" s="100">
        <v>33.94</v>
      </c>
      <c r="G75" s="98"/>
      <c r="H75" s="98" t="s">
        <v>53</v>
      </c>
      <c r="I75" s="101">
        <f t="shared" si="4"/>
        <v>44.82</v>
      </c>
      <c r="J75" s="98"/>
      <c r="K75" s="98"/>
    </row>
    <row r="76" spans="1:11" ht="28.8" customHeight="1" x14ac:dyDescent="0.4">
      <c r="A76" s="98"/>
      <c r="B76" s="98" t="s">
        <v>316</v>
      </c>
      <c r="C76" s="100">
        <v>104</v>
      </c>
      <c r="D76" s="102" t="s">
        <v>317</v>
      </c>
      <c r="E76" s="98" t="s">
        <v>316</v>
      </c>
      <c r="F76" s="100">
        <v>260</v>
      </c>
      <c r="G76" s="102" t="s">
        <v>323</v>
      </c>
      <c r="H76" s="98" t="s">
        <v>316</v>
      </c>
      <c r="I76" s="101">
        <f t="shared" si="4"/>
        <v>364</v>
      </c>
      <c r="J76" s="98"/>
      <c r="K76" s="98"/>
    </row>
    <row r="77" spans="1:11" ht="21" x14ac:dyDescent="0.4">
      <c r="A77" s="98"/>
      <c r="B77" s="98" t="s">
        <v>115</v>
      </c>
      <c r="C77" s="100">
        <v>150</v>
      </c>
      <c r="D77" s="98"/>
      <c r="E77" s="98" t="s">
        <v>115</v>
      </c>
      <c r="F77" s="100">
        <v>290</v>
      </c>
      <c r="G77" s="98"/>
      <c r="H77" s="98" t="s">
        <v>115</v>
      </c>
      <c r="I77" s="101">
        <f t="shared" si="4"/>
        <v>440</v>
      </c>
      <c r="J77" s="98"/>
      <c r="K77" s="98"/>
    </row>
    <row r="78" spans="1:11" ht="21" x14ac:dyDescent="0.4">
      <c r="A78" s="105" t="s">
        <v>318</v>
      </c>
      <c r="B78" s="105"/>
      <c r="C78" s="106">
        <f>C71+C72+C73+C74+C75+C76+C77</f>
        <v>1062.48</v>
      </c>
      <c r="D78" s="105"/>
      <c r="E78" s="105"/>
      <c r="F78" s="107">
        <f>F71+F72+F73+F74+F75+F76+F77</f>
        <v>3060.0500000000006</v>
      </c>
      <c r="G78" s="108"/>
      <c r="H78" s="108"/>
      <c r="I78" s="107">
        <f>I71+I72+I73+I74+I75+I76+I77</f>
        <v>4122.5300000000007</v>
      </c>
      <c r="J78" s="98"/>
      <c r="K78" s="98"/>
    </row>
    <row r="79" spans="1:11" ht="21" x14ac:dyDescent="0.4">
      <c r="A79" s="103"/>
      <c r="B79" s="103"/>
      <c r="C79" s="103"/>
      <c r="D79" s="103"/>
      <c r="E79" s="103"/>
      <c r="F79" s="103"/>
      <c r="G79" s="103"/>
      <c r="H79" s="103"/>
      <c r="I79" s="103"/>
      <c r="J79" s="98"/>
      <c r="K79" s="98"/>
    </row>
    <row r="80" spans="1:11" ht="21" x14ac:dyDescent="0.4">
      <c r="A80" s="98"/>
      <c r="B80" s="98" t="s">
        <v>311</v>
      </c>
      <c r="C80" s="98"/>
      <c r="D80" s="98"/>
      <c r="E80" s="98" t="s">
        <v>357</v>
      </c>
      <c r="F80" s="98"/>
      <c r="G80" s="98"/>
      <c r="H80" s="99" t="s">
        <v>329</v>
      </c>
      <c r="I80" s="98"/>
      <c r="J80" s="98"/>
      <c r="K80" s="98"/>
    </row>
    <row r="81" spans="1:11" ht="21" x14ac:dyDescent="0.4">
      <c r="A81" s="98"/>
      <c r="B81" s="98"/>
      <c r="C81" s="98"/>
      <c r="D81" s="98"/>
      <c r="E81" s="98"/>
      <c r="F81" s="98"/>
      <c r="G81" s="98"/>
      <c r="H81" s="98"/>
      <c r="I81" s="98"/>
      <c r="J81" s="98"/>
      <c r="K81" s="98"/>
    </row>
    <row r="82" spans="1:11" ht="21" x14ac:dyDescent="0.4">
      <c r="A82" s="98"/>
      <c r="B82" s="98" t="s">
        <v>312</v>
      </c>
      <c r="C82" s="100">
        <v>700</v>
      </c>
      <c r="D82" s="98"/>
      <c r="E82" s="98" t="s">
        <v>312</v>
      </c>
      <c r="F82" s="100">
        <v>2181.8200000000002</v>
      </c>
      <c r="G82" s="98"/>
      <c r="H82" s="98" t="s">
        <v>312</v>
      </c>
      <c r="I82" s="101">
        <f t="shared" ref="I82:I91" si="5">C82+F82</f>
        <v>2881.82</v>
      </c>
      <c r="J82" s="98"/>
      <c r="K82" s="98"/>
    </row>
    <row r="83" spans="1:11" ht="21" x14ac:dyDescent="0.4">
      <c r="A83" s="98"/>
      <c r="B83" s="98" t="s">
        <v>335</v>
      </c>
      <c r="C83" s="113">
        <v>52.5</v>
      </c>
      <c r="D83" s="98"/>
      <c r="E83" s="98" t="s">
        <v>336</v>
      </c>
      <c r="F83" s="113">
        <v>173.59</v>
      </c>
      <c r="G83" s="98"/>
      <c r="H83" s="98" t="s">
        <v>333</v>
      </c>
      <c r="I83" s="114">
        <f>C83+F83</f>
        <v>226.09</v>
      </c>
      <c r="J83" s="98"/>
      <c r="K83" s="98"/>
    </row>
    <row r="84" spans="1:11" ht="21" x14ac:dyDescent="0.4">
      <c r="A84" s="98"/>
      <c r="B84" s="98" t="s">
        <v>340</v>
      </c>
      <c r="C84" s="113">
        <v>42</v>
      </c>
      <c r="D84" s="98"/>
      <c r="E84" s="98" t="s">
        <v>337</v>
      </c>
      <c r="F84" s="113">
        <v>130.91</v>
      </c>
      <c r="G84" s="98"/>
      <c r="H84" s="98" t="s">
        <v>337</v>
      </c>
      <c r="I84" s="114">
        <f>C84+F84</f>
        <v>172.91</v>
      </c>
      <c r="J84" s="98"/>
      <c r="K84" s="98"/>
    </row>
    <row r="85" spans="1:11" ht="21" x14ac:dyDescent="0.4">
      <c r="A85" s="98"/>
      <c r="B85" s="98" t="s">
        <v>341</v>
      </c>
      <c r="C85" s="100">
        <f>C82-C83-C84</f>
        <v>605.5</v>
      </c>
      <c r="D85" s="98"/>
      <c r="E85" s="98" t="s">
        <v>341</v>
      </c>
      <c r="F85" s="100">
        <f>F82-F83-F84</f>
        <v>1877.3200000000002</v>
      </c>
      <c r="G85" s="98"/>
      <c r="H85" s="98" t="s">
        <v>338</v>
      </c>
      <c r="I85" s="101">
        <f>I82-I83-I84</f>
        <v>2482.8200000000002</v>
      </c>
      <c r="J85" s="98"/>
      <c r="K85" s="98"/>
    </row>
    <row r="86" spans="1:11" ht="21" x14ac:dyDescent="0.4">
      <c r="A86" s="98"/>
      <c r="B86" s="98" t="s">
        <v>313</v>
      </c>
      <c r="C86" s="100">
        <v>56</v>
      </c>
      <c r="D86" s="98"/>
      <c r="E86" s="98" t="s">
        <v>313</v>
      </c>
      <c r="F86" s="100">
        <v>174.55</v>
      </c>
      <c r="G86" s="98"/>
      <c r="H86" s="98" t="s">
        <v>313</v>
      </c>
      <c r="I86" s="101">
        <f t="shared" si="5"/>
        <v>230.55</v>
      </c>
      <c r="J86" s="98"/>
      <c r="K86" s="98"/>
    </row>
    <row r="87" spans="1:11" ht="21" x14ac:dyDescent="0.4">
      <c r="A87" s="98"/>
      <c r="B87" s="98" t="s">
        <v>314</v>
      </c>
      <c r="C87" s="100">
        <v>77.77</v>
      </c>
      <c r="D87" s="98"/>
      <c r="E87" s="98" t="s">
        <v>314</v>
      </c>
      <c r="F87" s="100">
        <v>242.42</v>
      </c>
      <c r="G87" s="98"/>
      <c r="H87" s="98" t="s">
        <v>314</v>
      </c>
      <c r="I87" s="101">
        <f t="shared" si="5"/>
        <v>320.19</v>
      </c>
      <c r="J87" s="98"/>
      <c r="K87" s="98"/>
    </row>
    <row r="88" spans="1:11" ht="21" x14ac:dyDescent="0.4">
      <c r="A88" s="98"/>
      <c r="B88" s="98" t="s">
        <v>315</v>
      </c>
      <c r="C88" s="100">
        <v>58.33</v>
      </c>
      <c r="D88" s="98"/>
      <c r="E88" s="98" t="s">
        <v>315</v>
      </c>
      <c r="F88" s="100">
        <v>181.82</v>
      </c>
      <c r="G88" s="98"/>
      <c r="H88" s="98" t="s">
        <v>315</v>
      </c>
      <c r="I88" s="101">
        <f t="shared" si="5"/>
        <v>240.14999999999998</v>
      </c>
      <c r="J88" s="98"/>
      <c r="K88" s="98"/>
    </row>
    <row r="89" spans="1:11" ht="21" x14ac:dyDescent="0.4">
      <c r="A89" s="98"/>
      <c r="B89" s="98" t="s">
        <v>53</v>
      </c>
      <c r="C89" s="100">
        <v>10.88</v>
      </c>
      <c r="D89" s="98"/>
      <c r="E89" s="98" t="s">
        <v>53</v>
      </c>
      <c r="F89" s="100">
        <v>33.94</v>
      </c>
      <c r="G89" s="98"/>
      <c r="H89" s="98" t="s">
        <v>53</v>
      </c>
      <c r="I89" s="101">
        <f t="shared" si="5"/>
        <v>44.82</v>
      </c>
      <c r="J89" s="98"/>
      <c r="K89" s="98"/>
    </row>
    <row r="90" spans="1:11" ht="21" x14ac:dyDescent="0.4">
      <c r="A90" s="98"/>
      <c r="B90" s="98" t="s">
        <v>316</v>
      </c>
      <c r="C90" s="100">
        <v>91</v>
      </c>
      <c r="D90" s="102" t="s">
        <v>319</v>
      </c>
      <c r="E90" s="98" t="s">
        <v>316</v>
      </c>
      <c r="F90" s="100">
        <v>247</v>
      </c>
      <c r="G90" s="102" t="s">
        <v>342</v>
      </c>
      <c r="H90" s="98" t="s">
        <v>316</v>
      </c>
      <c r="I90" s="101">
        <f t="shared" si="5"/>
        <v>338</v>
      </c>
      <c r="J90" s="98"/>
      <c r="K90" s="98"/>
    </row>
    <row r="91" spans="1:11" ht="21" x14ac:dyDescent="0.4">
      <c r="A91" s="98"/>
      <c r="B91" s="98" t="s">
        <v>115</v>
      </c>
      <c r="C91" s="100">
        <v>150</v>
      </c>
      <c r="D91" s="98"/>
      <c r="E91" s="98" t="s">
        <v>115</v>
      </c>
      <c r="F91" s="100">
        <v>290</v>
      </c>
      <c r="G91" s="98"/>
      <c r="H91" s="98" t="s">
        <v>115</v>
      </c>
      <c r="I91" s="101">
        <f t="shared" si="5"/>
        <v>440</v>
      </c>
      <c r="J91" s="98"/>
      <c r="K91" s="98"/>
    </row>
    <row r="92" spans="1:11" ht="21" x14ac:dyDescent="0.4">
      <c r="A92" s="105" t="s">
        <v>318</v>
      </c>
      <c r="B92" s="105"/>
      <c r="C92" s="106">
        <f>C85+C86+C87+C88+C89+C90+C91</f>
        <v>1049.48</v>
      </c>
      <c r="D92" s="105"/>
      <c r="E92" s="105"/>
      <c r="F92" s="107">
        <f>F85+F86+F87+F88+F89+F90+F91</f>
        <v>3047.0500000000006</v>
      </c>
      <c r="G92" s="108"/>
      <c r="H92" s="108"/>
      <c r="I92" s="107">
        <f>I85+I86+I87+I88+I89+I90+I91</f>
        <v>4096.5300000000007</v>
      </c>
      <c r="J92" s="98"/>
      <c r="K92" s="98"/>
    </row>
    <row r="93" spans="1:11" ht="21" x14ac:dyDescent="0.4">
      <c r="A93" s="103"/>
      <c r="B93" s="103"/>
      <c r="C93" s="103"/>
      <c r="D93" s="103"/>
      <c r="E93" s="103"/>
      <c r="F93" s="103"/>
      <c r="G93" s="103"/>
      <c r="H93" s="103"/>
      <c r="I93" s="103"/>
      <c r="J93" s="98"/>
      <c r="K93" s="98"/>
    </row>
    <row r="94" spans="1:11" ht="21" x14ac:dyDescent="0.4">
      <c r="A94" s="115" t="s">
        <v>330</v>
      </c>
      <c r="B94" s="116"/>
      <c r="C94" s="117">
        <f>C64+C92+C78</f>
        <v>3187.44</v>
      </c>
      <c r="D94" s="115"/>
      <c r="E94" s="115"/>
      <c r="F94" s="117">
        <f>F64+F78+F92</f>
        <v>9167.1500000000015</v>
      </c>
      <c r="G94" s="115"/>
      <c r="H94" s="115"/>
      <c r="I94" s="117">
        <f>I64+I78+I92</f>
        <v>12354.590000000002</v>
      </c>
      <c r="J94" s="98"/>
      <c r="K94" s="98"/>
    </row>
  </sheetData>
  <mergeCells count="2">
    <mergeCell ref="A2:B2"/>
    <mergeCell ref="A50:B50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9452A-2F1F-4CCE-A395-1DEB33562096}">
  <dimension ref="A1:W38"/>
  <sheetViews>
    <sheetView tabSelected="1" topLeftCell="A17" zoomScaleNormal="100" workbookViewId="0">
      <selection activeCell="K4" sqref="K4"/>
    </sheetView>
  </sheetViews>
  <sheetFormatPr defaultRowHeight="14.4" x14ac:dyDescent="0.3"/>
  <cols>
    <col min="1" max="1" width="24.77734375" customWidth="1"/>
    <col min="2" max="2" width="12.21875" bestFit="1" customWidth="1"/>
    <col min="3" max="3" width="12.21875" customWidth="1"/>
    <col min="4" max="5" width="12.21875" bestFit="1" customWidth="1"/>
    <col min="6" max="6" width="13.21875" customWidth="1"/>
    <col min="7" max="7" width="12.5546875" customWidth="1"/>
    <col min="8" max="8" width="13.44140625" customWidth="1"/>
    <col min="9" max="9" width="18" customWidth="1"/>
  </cols>
  <sheetData>
    <row r="1" spans="1:23" ht="15" customHeight="1" thickTop="1" thickBot="1" x14ac:dyDescent="0.35">
      <c r="A1" s="176" t="s">
        <v>187</v>
      </c>
      <c r="B1" s="177"/>
      <c r="C1" s="177"/>
      <c r="D1" s="177"/>
      <c r="E1" s="177"/>
      <c r="F1" s="177"/>
      <c r="G1" s="177"/>
      <c r="H1" s="177"/>
      <c r="I1" s="178"/>
      <c r="T1" s="142"/>
      <c r="U1" s="142"/>
      <c r="V1" s="142"/>
      <c r="W1" s="142"/>
    </row>
    <row r="2" spans="1:23" ht="31.8" customHeight="1" thickTop="1" x14ac:dyDescent="0.3">
      <c r="A2" s="151" t="s">
        <v>188</v>
      </c>
      <c r="B2" s="152" t="s">
        <v>181</v>
      </c>
      <c r="C2" s="152" t="s">
        <v>182</v>
      </c>
      <c r="D2" s="152" t="s">
        <v>183</v>
      </c>
      <c r="E2" s="152" t="s">
        <v>178</v>
      </c>
      <c r="F2" s="152" t="s">
        <v>179</v>
      </c>
      <c r="G2" s="152" t="s">
        <v>184</v>
      </c>
      <c r="H2" s="153" t="s">
        <v>185</v>
      </c>
      <c r="I2" s="153" t="s">
        <v>160</v>
      </c>
    </row>
    <row r="3" spans="1:23" x14ac:dyDescent="0.3">
      <c r="A3" s="154" t="s">
        <v>189</v>
      </c>
      <c r="B3" s="155"/>
      <c r="C3" s="155"/>
      <c r="D3" s="155"/>
      <c r="E3" s="155"/>
      <c r="F3" s="156"/>
      <c r="G3" s="155"/>
      <c r="H3" s="157"/>
      <c r="I3" s="157"/>
    </row>
    <row r="4" spans="1:23" x14ac:dyDescent="0.3">
      <c r="A4" s="158" t="s">
        <v>161</v>
      </c>
      <c r="B4" s="159">
        <v>550</v>
      </c>
      <c r="C4" s="160" t="s">
        <v>34</v>
      </c>
      <c r="D4" s="161" t="s">
        <v>34</v>
      </c>
      <c r="E4" s="159" t="s">
        <v>34</v>
      </c>
      <c r="F4" s="160" t="s">
        <v>34</v>
      </c>
      <c r="G4" s="161" t="s">
        <v>34</v>
      </c>
      <c r="H4" s="162">
        <v>13</v>
      </c>
      <c r="I4" s="163" t="s">
        <v>162</v>
      </c>
    </row>
    <row r="5" spans="1:23" x14ac:dyDescent="0.3">
      <c r="A5" s="158" t="s">
        <v>163</v>
      </c>
      <c r="B5" s="159">
        <v>627.29999999999995</v>
      </c>
      <c r="C5" s="160" t="s">
        <v>34</v>
      </c>
      <c r="D5" s="161" t="s">
        <v>34</v>
      </c>
      <c r="E5" s="159" t="s">
        <v>34</v>
      </c>
      <c r="F5" s="160" t="s">
        <v>34</v>
      </c>
      <c r="G5" s="161" t="s">
        <v>34</v>
      </c>
      <c r="H5" s="162">
        <v>30</v>
      </c>
      <c r="I5" s="163" t="s">
        <v>162</v>
      </c>
    </row>
    <row r="6" spans="1:23" x14ac:dyDescent="0.3">
      <c r="A6" s="158" t="s">
        <v>35</v>
      </c>
      <c r="B6" s="159">
        <v>187.07</v>
      </c>
      <c r="C6" s="160">
        <v>185.19</v>
      </c>
      <c r="D6" s="161">
        <v>182.41</v>
      </c>
      <c r="E6" s="159">
        <v>187.88</v>
      </c>
      <c r="F6" s="160">
        <v>188.21</v>
      </c>
      <c r="G6" s="161">
        <v>189.15</v>
      </c>
      <c r="H6" s="162">
        <v>15</v>
      </c>
      <c r="I6" s="163"/>
    </row>
    <row r="7" spans="1:23" x14ac:dyDescent="0.3">
      <c r="A7" s="158" t="s">
        <v>36</v>
      </c>
      <c r="B7" s="159">
        <v>148.22999999999999</v>
      </c>
      <c r="C7" s="160">
        <v>149.71</v>
      </c>
      <c r="D7" s="161">
        <v>147.46</v>
      </c>
      <c r="E7" s="159">
        <v>148.19</v>
      </c>
      <c r="F7" s="160">
        <v>146.41</v>
      </c>
      <c r="G7" s="161">
        <v>146.71</v>
      </c>
      <c r="H7" s="162">
        <v>20</v>
      </c>
      <c r="I7" s="163"/>
    </row>
    <row r="8" spans="1:23" x14ac:dyDescent="0.3">
      <c r="A8" s="158" t="s">
        <v>46</v>
      </c>
      <c r="B8" s="159">
        <v>290</v>
      </c>
      <c r="C8" s="160">
        <v>290</v>
      </c>
      <c r="D8" s="161">
        <v>290</v>
      </c>
      <c r="E8" s="159">
        <v>290</v>
      </c>
      <c r="F8" s="160">
        <v>290</v>
      </c>
      <c r="G8" s="161">
        <v>290</v>
      </c>
      <c r="H8" s="162">
        <v>26</v>
      </c>
      <c r="I8" s="163"/>
    </row>
    <row r="9" spans="1:23" x14ac:dyDescent="0.3">
      <c r="A9" s="158" t="s">
        <v>97</v>
      </c>
      <c r="B9" s="159">
        <v>1572.76</v>
      </c>
      <c r="C9" s="160">
        <v>2881.82</v>
      </c>
      <c r="D9" s="161">
        <v>2881.82</v>
      </c>
      <c r="E9" s="159">
        <v>2881.82</v>
      </c>
      <c r="F9" s="160">
        <v>2881.82</v>
      </c>
      <c r="G9" s="161">
        <v>2881.82</v>
      </c>
      <c r="H9" s="162">
        <v>7</v>
      </c>
      <c r="I9" s="163"/>
    </row>
    <row r="10" spans="1:23" x14ac:dyDescent="0.3">
      <c r="A10" s="158" t="s">
        <v>115</v>
      </c>
      <c r="B10" s="159">
        <v>324</v>
      </c>
      <c r="C10" s="160">
        <v>440</v>
      </c>
      <c r="D10" s="161">
        <v>440</v>
      </c>
      <c r="E10" s="159">
        <v>440</v>
      </c>
      <c r="F10" s="160">
        <v>440</v>
      </c>
      <c r="G10" s="161">
        <v>440</v>
      </c>
      <c r="H10" s="162">
        <v>7</v>
      </c>
      <c r="I10" s="163"/>
    </row>
    <row r="11" spans="1:23" x14ac:dyDescent="0.3">
      <c r="A11" s="158" t="s">
        <v>333</v>
      </c>
      <c r="B11" s="159">
        <v>117.96</v>
      </c>
      <c r="C11" s="160">
        <v>226.09</v>
      </c>
      <c r="D11" s="161">
        <v>226.09</v>
      </c>
      <c r="E11" s="159">
        <v>226.09</v>
      </c>
      <c r="F11" s="160">
        <v>226.09</v>
      </c>
      <c r="G11" s="161">
        <v>226.09</v>
      </c>
      <c r="H11" s="162">
        <v>20</v>
      </c>
      <c r="I11" s="163"/>
    </row>
    <row r="12" spans="1:23" x14ac:dyDescent="0.3">
      <c r="A12" s="158" t="s">
        <v>30</v>
      </c>
      <c r="B12" s="159">
        <v>125.82</v>
      </c>
      <c r="C12" s="160">
        <v>230.55</v>
      </c>
      <c r="D12" s="161">
        <v>230.55</v>
      </c>
      <c r="E12" s="159">
        <v>230.55</v>
      </c>
      <c r="F12" s="160">
        <v>230.55</v>
      </c>
      <c r="G12" s="161">
        <v>230.55</v>
      </c>
      <c r="H12" s="162">
        <v>20</v>
      </c>
      <c r="I12" s="163"/>
    </row>
    <row r="13" spans="1:23" x14ac:dyDescent="0.3">
      <c r="A13" s="158" t="s">
        <v>31</v>
      </c>
      <c r="B13" s="159">
        <v>126.64</v>
      </c>
      <c r="C13" s="160">
        <v>191.09</v>
      </c>
      <c r="D13" s="161">
        <v>172.91</v>
      </c>
      <c r="E13" s="159">
        <v>204.09</v>
      </c>
      <c r="F13" s="160">
        <v>191.09</v>
      </c>
      <c r="G13" s="161">
        <v>165.09</v>
      </c>
      <c r="H13" s="162">
        <v>20</v>
      </c>
      <c r="I13" s="163"/>
    </row>
    <row r="14" spans="1:23" x14ac:dyDescent="0.3">
      <c r="A14" s="158" t="s">
        <v>164</v>
      </c>
      <c r="B14" s="159">
        <v>4000</v>
      </c>
      <c r="C14" s="160">
        <v>4000</v>
      </c>
      <c r="D14" s="161">
        <v>4000</v>
      </c>
      <c r="E14" s="159">
        <v>4000</v>
      </c>
      <c r="F14" s="160">
        <v>4000</v>
      </c>
      <c r="G14" s="161">
        <v>4000</v>
      </c>
      <c r="H14" s="162">
        <v>10</v>
      </c>
      <c r="I14" s="163" t="s">
        <v>196</v>
      </c>
    </row>
    <row r="15" spans="1:23" x14ac:dyDescent="0.3">
      <c r="A15" s="158" t="s">
        <v>194</v>
      </c>
      <c r="B15" s="159">
        <v>440</v>
      </c>
      <c r="C15" s="160">
        <v>440</v>
      </c>
      <c r="D15" s="161">
        <v>440</v>
      </c>
      <c r="E15" s="159">
        <v>440</v>
      </c>
      <c r="F15" s="160">
        <v>440</v>
      </c>
      <c r="G15" s="161">
        <v>440</v>
      </c>
      <c r="H15" s="162">
        <v>10</v>
      </c>
      <c r="I15" s="163" t="s">
        <v>195</v>
      </c>
    </row>
    <row r="16" spans="1:23" x14ac:dyDescent="0.3">
      <c r="A16" s="158" t="s">
        <v>98</v>
      </c>
      <c r="B16" s="159" t="s">
        <v>34</v>
      </c>
      <c r="C16" s="160">
        <v>139.97999999999999</v>
      </c>
      <c r="D16" s="161">
        <v>139.97999999999999</v>
      </c>
      <c r="E16" s="159">
        <v>139.97999999999999</v>
      </c>
      <c r="F16" s="160">
        <v>139.97999999999999</v>
      </c>
      <c r="G16" s="161">
        <v>139.97999999999999</v>
      </c>
      <c r="H16" s="162">
        <v>10</v>
      </c>
      <c r="I16" s="163" t="s">
        <v>165</v>
      </c>
    </row>
    <row r="17" spans="1:9" x14ac:dyDescent="0.3">
      <c r="A17" s="158" t="s">
        <v>197</v>
      </c>
      <c r="B17" s="159">
        <v>128.56</v>
      </c>
      <c r="C17" s="160">
        <v>600</v>
      </c>
      <c r="D17" s="161">
        <v>600</v>
      </c>
      <c r="E17" s="159">
        <v>600</v>
      </c>
      <c r="F17" s="160">
        <v>600</v>
      </c>
      <c r="G17" s="161">
        <v>600</v>
      </c>
      <c r="H17" s="162">
        <v>20</v>
      </c>
      <c r="I17" s="163" t="s">
        <v>166</v>
      </c>
    </row>
    <row r="18" spans="1:9" x14ac:dyDescent="0.3">
      <c r="A18" s="158" t="s">
        <v>52</v>
      </c>
      <c r="B18" s="159">
        <v>131.06</v>
      </c>
      <c r="C18" s="160">
        <v>240.15</v>
      </c>
      <c r="D18" s="161">
        <v>240.15</v>
      </c>
      <c r="E18" s="159">
        <v>240.15</v>
      </c>
      <c r="F18" s="160">
        <v>240.15</v>
      </c>
      <c r="G18" s="161">
        <v>240.15</v>
      </c>
      <c r="H18" s="162">
        <v>7</v>
      </c>
      <c r="I18" s="163" t="s">
        <v>168</v>
      </c>
    </row>
    <row r="19" spans="1:9" x14ac:dyDescent="0.3">
      <c r="A19" s="158" t="s">
        <v>167</v>
      </c>
      <c r="B19" s="159">
        <v>174.74</v>
      </c>
      <c r="C19" s="160">
        <v>320.19</v>
      </c>
      <c r="D19" s="161">
        <v>320.19</v>
      </c>
      <c r="E19" s="159">
        <v>320.19</v>
      </c>
      <c r="F19" s="160">
        <v>320.19</v>
      </c>
      <c r="G19" s="161">
        <v>320.19</v>
      </c>
      <c r="H19" s="162">
        <v>7</v>
      </c>
      <c r="I19" s="163"/>
    </row>
    <row r="20" spans="1:9" x14ac:dyDescent="0.3">
      <c r="A20" s="158" t="s">
        <v>53</v>
      </c>
      <c r="B20" s="164">
        <v>24.46</v>
      </c>
      <c r="C20" s="160">
        <v>44.82</v>
      </c>
      <c r="D20" s="161">
        <v>44.82</v>
      </c>
      <c r="E20" s="159">
        <v>44.82</v>
      </c>
      <c r="F20" s="160">
        <v>44.82</v>
      </c>
      <c r="G20" s="161">
        <v>44.82</v>
      </c>
      <c r="H20" s="162">
        <v>7</v>
      </c>
      <c r="I20" s="163"/>
    </row>
    <row r="21" spans="1:9" x14ac:dyDescent="0.3">
      <c r="A21" s="158" t="s">
        <v>40</v>
      </c>
      <c r="B21" s="164" t="s">
        <v>34</v>
      </c>
      <c r="C21" s="160">
        <v>295</v>
      </c>
      <c r="D21" s="161">
        <v>295</v>
      </c>
      <c r="E21" s="159">
        <v>295</v>
      </c>
      <c r="F21" s="160">
        <v>295</v>
      </c>
      <c r="G21" s="161">
        <v>295</v>
      </c>
      <c r="H21" s="162">
        <v>15</v>
      </c>
      <c r="I21" s="163" t="s">
        <v>169</v>
      </c>
    </row>
    <row r="22" spans="1:9" x14ac:dyDescent="0.3">
      <c r="A22" s="165"/>
      <c r="B22" s="166"/>
      <c r="C22" s="167"/>
      <c r="D22" s="167"/>
      <c r="E22" s="168"/>
      <c r="F22" s="168"/>
      <c r="G22" s="168"/>
      <c r="H22" s="162"/>
      <c r="I22" s="163"/>
    </row>
    <row r="23" spans="1:9" x14ac:dyDescent="0.3">
      <c r="A23" s="165"/>
      <c r="B23" s="166"/>
      <c r="C23" s="167"/>
      <c r="D23" s="167"/>
      <c r="E23" s="168"/>
      <c r="F23" s="168"/>
      <c r="G23" s="168"/>
      <c r="H23" s="162"/>
      <c r="I23" s="163"/>
    </row>
    <row r="24" spans="1:9" x14ac:dyDescent="0.3">
      <c r="A24" s="154" t="s">
        <v>190</v>
      </c>
      <c r="B24" s="169"/>
      <c r="C24" s="169"/>
      <c r="D24" s="169"/>
      <c r="E24" s="169"/>
      <c r="F24" s="170"/>
      <c r="G24" s="169"/>
      <c r="H24" s="171"/>
      <c r="I24" s="171"/>
    </row>
    <row r="25" spans="1:9" x14ac:dyDescent="0.3">
      <c r="A25" s="158" t="s">
        <v>170</v>
      </c>
      <c r="B25" s="159">
        <v>243.56</v>
      </c>
      <c r="C25" s="160" t="s">
        <v>34</v>
      </c>
      <c r="D25" s="161" t="s">
        <v>34</v>
      </c>
      <c r="E25" s="159" t="s">
        <v>34</v>
      </c>
      <c r="F25" s="160" t="s">
        <v>34</v>
      </c>
      <c r="G25" s="161" t="s">
        <v>34</v>
      </c>
      <c r="H25" s="162">
        <v>6</v>
      </c>
      <c r="I25" s="163" t="s">
        <v>171</v>
      </c>
    </row>
    <row r="26" spans="1:9" x14ac:dyDescent="0.3">
      <c r="A26" s="158" t="s">
        <v>110</v>
      </c>
      <c r="B26" s="159">
        <v>120</v>
      </c>
      <c r="C26" s="160">
        <v>122.51</v>
      </c>
      <c r="D26" s="161">
        <v>134.94999999999999</v>
      </c>
      <c r="E26" s="159">
        <v>132.97</v>
      </c>
      <c r="F26" s="160">
        <v>128.97</v>
      </c>
      <c r="G26" s="161">
        <v>125.32</v>
      </c>
      <c r="H26" s="162">
        <v>7</v>
      </c>
      <c r="I26" s="163" t="s">
        <v>361</v>
      </c>
    </row>
    <row r="27" spans="1:9" x14ac:dyDescent="0.3">
      <c r="A27" s="158" t="s">
        <v>58</v>
      </c>
      <c r="B27" s="159">
        <v>250</v>
      </c>
      <c r="C27" s="160">
        <v>300</v>
      </c>
      <c r="D27" s="161">
        <v>180</v>
      </c>
      <c r="E27" s="159">
        <v>200</v>
      </c>
      <c r="F27" s="160">
        <v>200</v>
      </c>
      <c r="G27" s="161">
        <v>200</v>
      </c>
      <c r="H27" s="162">
        <v>7</v>
      </c>
      <c r="I27" s="163"/>
    </row>
    <row r="28" spans="1:9" x14ac:dyDescent="0.3">
      <c r="A28" s="158" t="s">
        <v>57</v>
      </c>
      <c r="B28" s="159">
        <v>212</v>
      </c>
      <c r="C28" s="160" t="s">
        <v>34</v>
      </c>
      <c r="D28" s="161">
        <v>218.36</v>
      </c>
      <c r="E28" s="159" t="s">
        <v>34</v>
      </c>
      <c r="F28" s="160">
        <v>216.24</v>
      </c>
      <c r="G28" s="161" t="s">
        <v>34</v>
      </c>
      <c r="H28" s="162">
        <v>10</v>
      </c>
      <c r="I28" s="163" t="s">
        <v>172</v>
      </c>
    </row>
    <row r="29" spans="1:9" x14ac:dyDescent="0.3">
      <c r="A29" s="158" t="s">
        <v>173</v>
      </c>
      <c r="B29" s="159">
        <v>553.20000000000005</v>
      </c>
      <c r="C29" s="160">
        <v>553.20000000000005</v>
      </c>
      <c r="D29" s="161">
        <v>553.20000000000005</v>
      </c>
      <c r="E29" s="159">
        <v>553.20000000000005</v>
      </c>
      <c r="F29" s="160">
        <v>553.20000000000005</v>
      </c>
      <c r="G29" s="161">
        <v>553.20000000000005</v>
      </c>
      <c r="H29" s="162">
        <v>9</v>
      </c>
      <c r="I29" s="163" t="s">
        <v>303</v>
      </c>
    </row>
    <row r="30" spans="1:9" x14ac:dyDescent="0.3">
      <c r="A30" s="158" t="s">
        <v>68</v>
      </c>
      <c r="B30" s="159">
        <v>403.33</v>
      </c>
      <c r="C30" s="160">
        <v>403.33</v>
      </c>
      <c r="D30" s="161">
        <v>403.33</v>
      </c>
      <c r="E30" s="159">
        <v>403.33</v>
      </c>
      <c r="F30" s="160">
        <v>403.33</v>
      </c>
      <c r="G30" s="161">
        <v>403.33</v>
      </c>
      <c r="H30" s="162">
        <v>10</v>
      </c>
      <c r="I30" s="172" t="s">
        <v>304</v>
      </c>
    </row>
    <row r="31" spans="1:9" x14ac:dyDescent="0.3">
      <c r="A31" s="158" t="s">
        <v>142</v>
      </c>
      <c r="B31" s="159">
        <v>2500</v>
      </c>
      <c r="C31" s="160" t="s">
        <v>34</v>
      </c>
      <c r="D31" s="161" t="s">
        <v>34</v>
      </c>
      <c r="E31" s="159" t="s">
        <v>34</v>
      </c>
      <c r="F31" s="160" t="s">
        <v>34</v>
      </c>
      <c r="G31" s="161">
        <v>1260</v>
      </c>
      <c r="H31" s="162">
        <v>30</v>
      </c>
      <c r="I31" s="163" t="s">
        <v>358</v>
      </c>
    </row>
    <row r="32" spans="1:9" x14ac:dyDescent="0.3">
      <c r="A32" s="158" t="s">
        <v>99</v>
      </c>
      <c r="B32" s="159">
        <v>358</v>
      </c>
      <c r="C32" s="160" t="s">
        <v>34</v>
      </c>
      <c r="D32" s="161" t="s">
        <v>34</v>
      </c>
      <c r="E32" s="159" t="s">
        <v>34</v>
      </c>
      <c r="F32" s="160" t="s">
        <v>34</v>
      </c>
      <c r="G32" s="161" t="s">
        <v>34</v>
      </c>
      <c r="H32" s="162">
        <v>6</v>
      </c>
      <c r="I32" s="163" t="s">
        <v>359</v>
      </c>
    </row>
    <row r="33" spans="1:9" x14ac:dyDescent="0.3">
      <c r="A33" s="158" t="s">
        <v>360</v>
      </c>
      <c r="B33" s="159">
        <v>288</v>
      </c>
      <c r="C33" s="160" t="s">
        <v>34</v>
      </c>
      <c r="D33" s="161" t="s">
        <v>34</v>
      </c>
      <c r="E33" s="159" t="s">
        <v>34</v>
      </c>
      <c r="F33" s="160" t="s">
        <v>34</v>
      </c>
      <c r="G33" s="161" t="s">
        <v>34</v>
      </c>
      <c r="H33" s="162">
        <v>30</v>
      </c>
      <c r="I33" s="163" t="s">
        <v>162</v>
      </c>
    </row>
    <row r="34" spans="1:9" x14ac:dyDescent="0.3">
      <c r="A34" s="173" t="s">
        <v>174</v>
      </c>
      <c r="B34" s="159" t="s">
        <v>34</v>
      </c>
      <c r="C34" s="160">
        <v>0</v>
      </c>
      <c r="D34" s="161">
        <v>2200</v>
      </c>
      <c r="E34" s="159" t="s">
        <v>34</v>
      </c>
      <c r="F34" s="160">
        <v>0</v>
      </c>
      <c r="G34" s="161">
        <v>2200</v>
      </c>
      <c r="H34" s="162">
        <v>30</v>
      </c>
      <c r="I34" s="163" t="s">
        <v>175</v>
      </c>
    </row>
    <row r="35" spans="1:9" ht="15" thickBot="1" x14ac:dyDescent="0.35">
      <c r="A35" s="174" t="s">
        <v>186</v>
      </c>
      <c r="B35" s="175">
        <f>SUBTOTAL(109,Table_219[Janeiro])</f>
        <v>13896.689999999997</v>
      </c>
      <c r="C35" s="175">
        <f>SUBTOTAL(109,Table_320[Fevereiro])</f>
        <v>12053.630000000001</v>
      </c>
      <c r="D35" s="175">
        <f>SUBTOTAL(109,Table_421[Março])</f>
        <v>14341.220000000001</v>
      </c>
      <c r="E35" s="175">
        <f>SUBTOTAL(109,Table_421[Abril])</f>
        <v>11978.26</v>
      </c>
      <c r="F35" s="175">
        <f>SUBTOTAL(109,Table_421[Maio])</f>
        <v>12176.05</v>
      </c>
      <c r="G35" s="175">
        <f>SUBTOTAL(109,Table_421[Junho])</f>
        <v>15391.4</v>
      </c>
      <c r="H35" s="171"/>
      <c r="I35" s="171"/>
    </row>
    <row r="36" spans="1:9" ht="15" thickTop="1" x14ac:dyDescent="0.3"/>
    <row r="37" spans="1:9" x14ac:dyDescent="0.3">
      <c r="G37" s="112"/>
    </row>
    <row r="38" spans="1:9" x14ac:dyDescent="0.3">
      <c r="D38" s="112"/>
      <c r="E38" s="112"/>
    </row>
  </sheetData>
  <dataConsolidate/>
  <mergeCells count="2">
    <mergeCell ref="T1:W1"/>
    <mergeCell ref="A1:I1"/>
  </mergeCells>
  <phoneticPr fontId="16" type="noConversion"/>
  <pageMargins left="0.19685039370078741" right="0.19685039370078741" top="0.39370078740157483" bottom="0.39370078740157483" header="0.31496062992125984" footer="0.31496062992125984"/>
  <pageSetup paperSize="9" orientation="landscape" r:id="rId1"/>
  <drawing r:id="rId2"/>
  <tableParts count="3">
    <tablePart r:id="rId3"/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1071"/>
  <sheetViews>
    <sheetView topLeftCell="A31" zoomScaleNormal="100" workbookViewId="0">
      <selection activeCell="F128" sqref="F128"/>
    </sheetView>
  </sheetViews>
  <sheetFormatPr defaultColWidth="14.44140625" defaultRowHeight="15" customHeight="1" x14ac:dyDescent="0.3"/>
  <cols>
    <col min="1" max="1" width="8.6640625" customWidth="1"/>
    <col min="2" max="2" width="10.5546875" customWidth="1"/>
    <col min="3" max="3" width="46.21875" customWidth="1"/>
    <col min="4" max="4" width="47.77734375" customWidth="1"/>
    <col min="5" max="6" width="25.109375" customWidth="1"/>
    <col min="7" max="7" width="30.33203125" customWidth="1"/>
    <col min="8" max="8" width="4.6640625" customWidth="1"/>
    <col min="9" max="9" width="6" customWidth="1"/>
    <col min="10" max="10" width="14.109375" customWidth="1"/>
    <col min="11" max="26" width="8.6640625" customWidth="1"/>
  </cols>
  <sheetData>
    <row r="1" spans="2:10" ht="15" customHeight="1" x14ac:dyDescent="0.3">
      <c r="B1" s="81"/>
      <c r="C1" s="81"/>
      <c r="D1" s="81"/>
      <c r="E1" s="81"/>
      <c r="F1" s="81"/>
      <c r="G1" s="81"/>
    </row>
    <row r="2" spans="2:10" s="76" customFormat="1" ht="16.8" customHeight="1" x14ac:dyDescent="0.3">
      <c r="B2" s="143" t="s">
        <v>100</v>
      </c>
      <c r="C2" s="143"/>
      <c r="D2" s="143"/>
      <c r="E2" s="143"/>
      <c r="F2" s="143"/>
      <c r="G2" s="143"/>
    </row>
    <row r="3" spans="2:10" s="76" customFormat="1" ht="21.6" customHeight="1" x14ac:dyDescent="0.3">
      <c r="B3" s="143"/>
      <c r="C3" s="143"/>
      <c r="D3" s="143"/>
      <c r="E3" s="143"/>
      <c r="F3" s="143"/>
      <c r="G3" s="143"/>
    </row>
    <row r="4" spans="2:10" s="76" customFormat="1" ht="23.4" x14ac:dyDescent="0.45">
      <c r="B4" s="77" t="s">
        <v>94</v>
      </c>
      <c r="C4" s="77" t="s">
        <v>95</v>
      </c>
      <c r="D4" s="78" t="s">
        <v>101</v>
      </c>
      <c r="E4" s="78" t="s">
        <v>102</v>
      </c>
      <c r="F4" s="79" t="s">
        <v>103</v>
      </c>
      <c r="G4" s="80" t="s">
        <v>96</v>
      </c>
    </row>
    <row r="5" spans="2:10" ht="21" x14ac:dyDescent="0.4">
      <c r="B5" s="82" t="s">
        <v>305</v>
      </c>
      <c r="C5" s="33" t="s">
        <v>104</v>
      </c>
      <c r="E5" s="34">
        <v>70000</v>
      </c>
      <c r="F5" s="34"/>
      <c r="G5" s="34">
        <f>E5</f>
        <v>70000</v>
      </c>
    </row>
    <row r="6" spans="2:10" ht="21" x14ac:dyDescent="0.4">
      <c r="B6" s="32">
        <v>6</v>
      </c>
      <c r="C6" s="33" t="s">
        <v>105</v>
      </c>
      <c r="D6" s="35" t="s">
        <v>106</v>
      </c>
      <c r="E6" s="10"/>
      <c r="F6" s="36">
        <v>243.56</v>
      </c>
      <c r="G6" s="34">
        <f>G5+E6-F6</f>
        <v>69756.44</v>
      </c>
    </row>
    <row r="7" spans="2:10" ht="21" x14ac:dyDescent="0.4">
      <c r="B7" s="32">
        <v>6</v>
      </c>
      <c r="C7" s="33" t="s">
        <v>281</v>
      </c>
      <c r="D7" s="35" t="s">
        <v>107</v>
      </c>
      <c r="E7" s="10"/>
      <c r="F7" s="36">
        <v>358</v>
      </c>
      <c r="G7" s="34">
        <f t="shared" ref="G7:G45" si="0">G6+E7-F7</f>
        <v>69398.44</v>
      </c>
    </row>
    <row r="8" spans="2:10" ht="21" x14ac:dyDescent="0.4">
      <c r="B8" s="32">
        <v>6</v>
      </c>
      <c r="C8" s="47" t="s">
        <v>293</v>
      </c>
      <c r="D8" s="35" t="s">
        <v>108</v>
      </c>
      <c r="E8" s="53"/>
      <c r="F8" s="36">
        <v>288</v>
      </c>
      <c r="G8" s="34">
        <f t="shared" si="0"/>
        <v>69110.44</v>
      </c>
    </row>
    <row r="9" spans="2:10" ht="21" x14ac:dyDescent="0.4">
      <c r="B9" s="32">
        <v>6</v>
      </c>
      <c r="C9" s="37" t="s">
        <v>294</v>
      </c>
      <c r="D9" s="35" t="s">
        <v>109</v>
      </c>
      <c r="F9" s="36">
        <v>128.56</v>
      </c>
      <c r="G9" s="34">
        <f t="shared" si="0"/>
        <v>68981.88</v>
      </c>
    </row>
    <row r="10" spans="2:10" ht="21" x14ac:dyDescent="0.4">
      <c r="B10" s="32">
        <v>7</v>
      </c>
      <c r="C10" s="33" t="s">
        <v>348</v>
      </c>
      <c r="D10" s="33" t="s">
        <v>176</v>
      </c>
      <c r="E10" s="34"/>
      <c r="F10" s="36">
        <v>120</v>
      </c>
      <c r="G10" s="34">
        <f t="shared" si="0"/>
        <v>68861.88</v>
      </c>
    </row>
    <row r="11" spans="2:10" ht="21" x14ac:dyDescent="0.4">
      <c r="B11" s="32">
        <v>7</v>
      </c>
      <c r="C11" s="33" t="s">
        <v>295</v>
      </c>
      <c r="D11" s="38" t="s">
        <v>111</v>
      </c>
      <c r="E11" s="34"/>
      <c r="F11" s="36">
        <v>250</v>
      </c>
      <c r="G11" s="34">
        <f t="shared" si="0"/>
        <v>68611.88</v>
      </c>
    </row>
    <row r="12" spans="2:10" ht="21" x14ac:dyDescent="0.4">
      <c r="B12" s="32">
        <v>8</v>
      </c>
      <c r="C12" s="33" t="s">
        <v>117</v>
      </c>
      <c r="D12" s="50" t="s">
        <v>199</v>
      </c>
      <c r="E12" s="34"/>
      <c r="F12" s="36">
        <v>212</v>
      </c>
      <c r="G12" s="34">
        <f t="shared" si="0"/>
        <v>68399.88</v>
      </c>
    </row>
    <row r="13" spans="2:10" ht="21" x14ac:dyDescent="0.4">
      <c r="B13" s="118">
        <v>9</v>
      </c>
      <c r="C13" s="33" t="s">
        <v>115</v>
      </c>
      <c r="D13" s="38" t="s">
        <v>349</v>
      </c>
      <c r="E13" s="34"/>
      <c r="F13" s="36">
        <v>324</v>
      </c>
      <c r="G13" s="34">
        <f t="shared" si="0"/>
        <v>68075.88</v>
      </c>
    </row>
    <row r="14" spans="2:10" ht="21" x14ac:dyDescent="0.4">
      <c r="B14" s="32">
        <v>9</v>
      </c>
      <c r="C14" s="33" t="s">
        <v>67</v>
      </c>
      <c r="D14" s="38" t="s">
        <v>119</v>
      </c>
      <c r="E14" s="34"/>
      <c r="F14" s="36">
        <v>553.20000000000005</v>
      </c>
      <c r="G14" s="34">
        <f t="shared" si="0"/>
        <v>67522.680000000008</v>
      </c>
    </row>
    <row r="15" spans="2:10" ht="21" x14ac:dyDescent="0.4">
      <c r="B15" s="32">
        <v>10</v>
      </c>
      <c r="C15" s="33" t="s">
        <v>68</v>
      </c>
      <c r="D15" s="38" t="s">
        <v>120</v>
      </c>
      <c r="E15" s="34"/>
      <c r="F15" s="36">
        <v>403.33</v>
      </c>
      <c r="G15" s="34">
        <f t="shared" si="0"/>
        <v>67119.350000000006</v>
      </c>
      <c r="J15" s="39"/>
    </row>
    <row r="16" spans="2:10" ht="21" x14ac:dyDescent="0.4">
      <c r="B16" s="32">
        <v>13</v>
      </c>
      <c r="C16" s="33" t="s">
        <v>123</v>
      </c>
      <c r="D16" s="34" t="s">
        <v>124</v>
      </c>
      <c r="E16" s="34"/>
      <c r="F16" s="36">
        <v>550</v>
      </c>
      <c r="G16" s="34">
        <f t="shared" si="0"/>
        <v>66569.350000000006</v>
      </c>
      <c r="J16" s="39"/>
    </row>
    <row r="17" spans="2:9" ht="21" x14ac:dyDescent="0.4">
      <c r="B17" s="56">
        <v>14</v>
      </c>
      <c r="C17" s="35" t="s">
        <v>11</v>
      </c>
      <c r="D17" s="69" t="s">
        <v>274</v>
      </c>
      <c r="E17" s="34">
        <v>800</v>
      </c>
      <c r="F17" s="36"/>
      <c r="G17" s="34">
        <f t="shared" si="0"/>
        <v>67369.350000000006</v>
      </c>
    </row>
    <row r="18" spans="2:9" ht="21" x14ac:dyDescent="0.4">
      <c r="B18" s="56">
        <v>14</v>
      </c>
      <c r="C18" s="52" t="s">
        <v>12</v>
      </c>
      <c r="D18" s="68" t="s">
        <v>273</v>
      </c>
      <c r="E18" s="34">
        <v>1000</v>
      </c>
      <c r="F18" s="36"/>
      <c r="G18" s="34">
        <f t="shared" si="0"/>
        <v>68369.350000000006</v>
      </c>
    </row>
    <row r="19" spans="2:9" ht="21" x14ac:dyDescent="0.4">
      <c r="B19" s="32">
        <v>15</v>
      </c>
      <c r="C19" s="35" t="s">
        <v>125</v>
      </c>
      <c r="D19" s="38" t="s">
        <v>126</v>
      </c>
      <c r="E19" s="34"/>
      <c r="F19" s="36">
        <v>187.07</v>
      </c>
      <c r="G19" s="34">
        <f t="shared" si="0"/>
        <v>68182.28</v>
      </c>
    </row>
    <row r="20" spans="2:9" ht="21" x14ac:dyDescent="0.4">
      <c r="B20" s="56">
        <v>16</v>
      </c>
      <c r="C20" s="33" t="s">
        <v>10</v>
      </c>
      <c r="D20" s="63" t="s">
        <v>240</v>
      </c>
      <c r="E20" s="34">
        <v>250</v>
      </c>
      <c r="F20" s="36"/>
      <c r="G20" s="34">
        <f t="shared" si="0"/>
        <v>68432.28</v>
      </c>
    </row>
    <row r="21" spans="2:9" ht="21" x14ac:dyDescent="0.4">
      <c r="B21" s="56">
        <v>17</v>
      </c>
      <c r="C21" s="33" t="s">
        <v>10</v>
      </c>
      <c r="D21" s="55" t="s">
        <v>220</v>
      </c>
      <c r="E21" s="34">
        <v>250</v>
      </c>
      <c r="F21" s="36"/>
      <c r="G21" s="34">
        <f t="shared" si="0"/>
        <v>68682.28</v>
      </c>
    </row>
    <row r="22" spans="2:9" ht="21" x14ac:dyDescent="0.4">
      <c r="B22" s="118">
        <v>20</v>
      </c>
      <c r="C22" s="33" t="s">
        <v>343</v>
      </c>
      <c r="D22" s="51" t="s">
        <v>200</v>
      </c>
      <c r="E22" s="34"/>
      <c r="F22" s="36">
        <v>117.96</v>
      </c>
      <c r="G22" s="34">
        <f t="shared" si="0"/>
        <v>68564.319999999992</v>
      </c>
    </row>
    <row r="23" spans="2:9" ht="21" x14ac:dyDescent="0.4">
      <c r="B23" s="118">
        <v>20</v>
      </c>
      <c r="C23" s="33" t="s">
        <v>127</v>
      </c>
      <c r="D23" s="51" t="s">
        <v>200</v>
      </c>
      <c r="E23" s="34"/>
      <c r="F23" s="36">
        <v>126.64</v>
      </c>
      <c r="G23" s="34">
        <f t="shared" si="0"/>
        <v>68437.679999999993</v>
      </c>
    </row>
    <row r="24" spans="2:9" ht="21" x14ac:dyDescent="0.4">
      <c r="B24" s="32">
        <v>20</v>
      </c>
      <c r="C24" s="33" t="s">
        <v>129</v>
      </c>
      <c r="D24" s="34" t="s">
        <v>130</v>
      </c>
      <c r="E24" s="34"/>
      <c r="F24" s="36">
        <v>148.22999999999999</v>
      </c>
      <c r="G24" s="34">
        <f t="shared" si="0"/>
        <v>68289.45</v>
      </c>
    </row>
    <row r="25" spans="2:9" ht="21" x14ac:dyDescent="0.4">
      <c r="B25" s="32">
        <v>21</v>
      </c>
      <c r="C25" s="33" t="s">
        <v>237</v>
      </c>
      <c r="D25" s="34" t="s">
        <v>132</v>
      </c>
      <c r="E25" s="34">
        <v>380</v>
      </c>
      <c r="F25" s="36"/>
      <c r="G25" s="34">
        <f t="shared" si="0"/>
        <v>68669.45</v>
      </c>
    </row>
    <row r="26" spans="2:9" ht="21" x14ac:dyDescent="0.4">
      <c r="B26" s="32">
        <v>22</v>
      </c>
      <c r="C26" s="49" t="s">
        <v>269</v>
      </c>
      <c r="D26" s="34" t="s">
        <v>133</v>
      </c>
      <c r="E26" s="34">
        <v>600</v>
      </c>
      <c r="F26" s="36"/>
      <c r="G26" s="34">
        <f t="shared" si="0"/>
        <v>69269.45</v>
      </c>
    </row>
    <row r="27" spans="2:9" ht="21" x14ac:dyDescent="0.4">
      <c r="B27" s="32">
        <v>23</v>
      </c>
      <c r="C27" s="33" t="s">
        <v>282</v>
      </c>
      <c r="D27" s="41" t="s">
        <v>135</v>
      </c>
      <c r="E27" s="34">
        <v>380</v>
      </c>
      <c r="F27" s="36"/>
      <c r="G27" s="34">
        <f t="shared" si="0"/>
        <v>69649.45</v>
      </c>
    </row>
    <row r="28" spans="2:9" ht="21" x14ac:dyDescent="0.4">
      <c r="B28" s="56">
        <v>23</v>
      </c>
      <c r="C28" s="33" t="s">
        <v>10</v>
      </c>
      <c r="D28" s="57" t="s">
        <v>136</v>
      </c>
      <c r="E28" s="34">
        <v>250</v>
      </c>
      <c r="F28" s="36"/>
      <c r="G28" s="34">
        <f t="shared" si="0"/>
        <v>69899.45</v>
      </c>
    </row>
    <row r="29" spans="2:9" ht="21" x14ac:dyDescent="0.4">
      <c r="B29" s="32">
        <v>24</v>
      </c>
      <c r="C29" s="33" t="s">
        <v>88</v>
      </c>
      <c r="D29" s="51" t="s">
        <v>241</v>
      </c>
      <c r="E29" s="34">
        <v>750</v>
      </c>
      <c r="F29" s="36"/>
      <c r="G29" s="34">
        <f t="shared" si="0"/>
        <v>70649.45</v>
      </c>
    </row>
    <row r="30" spans="2:9" ht="21" x14ac:dyDescent="0.4">
      <c r="B30" s="32">
        <v>27</v>
      </c>
      <c r="C30" s="33" t="s">
        <v>18</v>
      </c>
      <c r="D30" s="51" t="s">
        <v>242</v>
      </c>
      <c r="E30" s="34">
        <v>300</v>
      </c>
      <c r="F30" s="36"/>
      <c r="G30" s="34">
        <f t="shared" si="0"/>
        <v>70949.45</v>
      </c>
    </row>
    <row r="31" spans="2:9" ht="21" x14ac:dyDescent="0.4">
      <c r="B31" s="32">
        <v>27</v>
      </c>
      <c r="C31" s="33" t="s">
        <v>137</v>
      </c>
      <c r="D31" s="34" t="s">
        <v>138</v>
      </c>
      <c r="E31" s="34"/>
      <c r="F31" s="36">
        <v>290</v>
      </c>
      <c r="G31" s="34">
        <f t="shared" si="0"/>
        <v>70659.45</v>
      </c>
      <c r="I31" s="26"/>
    </row>
    <row r="32" spans="2:9" ht="21" x14ac:dyDescent="0.4">
      <c r="B32" s="32">
        <v>28</v>
      </c>
      <c r="C32" s="33" t="s">
        <v>139</v>
      </c>
      <c r="D32" s="34" t="s">
        <v>140</v>
      </c>
      <c r="E32" s="34">
        <v>150</v>
      </c>
      <c r="F32" s="36"/>
      <c r="G32" s="34">
        <f t="shared" si="0"/>
        <v>70809.45</v>
      </c>
    </row>
    <row r="33" spans="2:10" ht="21" x14ac:dyDescent="0.4">
      <c r="B33" s="32">
        <v>29</v>
      </c>
      <c r="C33" s="33" t="s">
        <v>139</v>
      </c>
      <c r="D33" s="34" t="s">
        <v>141</v>
      </c>
      <c r="E33" s="34">
        <v>150</v>
      </c>
      <c r="F33" s="36"/>
      <c r="G33" s="34">
        <f t="shared" si="0"/>
        <v>70959.45</v>
      </c>
    </row>
    <row r="34" spans="2:10" ht="21" x14ac:dyDescent="0.4">
      <c r="B34" s="32">
        <v>29</v>
      </c>
      <c r="C34" s="33" t="s">
        <v>134</v>
      </c>
      <c r="D34" s="51" t="s">
        <v>243</v>
      </c>
      <c r="E34" s="34">
        <v>760</v>
      </c>
      <c r="F34" s="36"/>
      <c r="G34" s="34">
        <f t="shared" si="0"/>
        <v>71719.45</v>
      </c>
    </row>
    <row r="35" spans="2:10" ht="21" x14ac:dyDescent="0.4">
      <c r="B35" s="32">
        <v>29</v>
      </c>
      <c r="C35" s="33" t="s">
        <v>134</v>
      </c>
      <c r="D35" s="51" t="s">
        <v>244</v>
      </c>
      <c r="E35" s="34">
        <v>760</v>
      </c>
      <c r="F35" s="36"/>
      <c r="G35" s="34">
        <f t="shared" si="0"/>
        <v>72479.45</v>
      </c>
    </row>
    <row r="36" spans="2:10" ht="21" x14ac:dyDescent="0.4">
      <c r="B36" s="32">
        <v>30</v>
      </c>
      <c r="C36" s="33" t="s">
        <v>12</v>
      </c>
      <c r="D36" s="51" t="s">
        <v>250</v>
      </c>
      <c r="E36" s="34">
        <v>1000</v>
      </c>
      <c r="F36" s="36"/>
      <c r="G36" s="34">
        <f t="shared" si="0"/>
        <v>73479.45</v>
      </c>
    </row>
    <row r="37" spans="2:10" ht="21" x14ac:dyDescent="0.4">
      <c r="B37" s="32">
        <v>30</v>
      </c>
      <c r="C37" s="33" t="s">
        <v>142</v>
      </c>
      <c r="D37" s="34" t="s">
        <v>296</v>
      </c>
      <c r="E37" s="34"/>
      <c r="F37" s="36">
        <v>2500</v>
      </c>
      <c r="G37" s="34">
        <f t="shared" si="0"/>
        <v>70979.45</v>
      </c>
    </row>
    <row r="38" spans="2:10" ht="21" x14ac:dyDescent="0.4">
      <c r="B38" s="32">
        <v>31</v>
      </c>
      <c r="C38" s="33" t="s">
        <v>143</v>
      </c>
      <c r="D38" s="34" t="s">
        <v>144</v>
      </c>
      <c r="E38" s="34"/>
      <c r="F38" s="36">
        <v>627.29999999999995</v>
      </c>
      <c r="G38" s="34">
        <f t="shared" si="0"/>
        <v>70352.149999999994</v>
      </c>
    </row>
    <row r="39" spans="2:10" ht="21" x14ac:dyDescent="0.4">
      <c r="B39" s="32">
        <v>31</v>
      </c>
      <c r="C39" s="33" t="s">
        <v>112</v>
      </c>
      <c r="D39" s="38" t="s">
        <v>113</v>
      </c>
      <c r="E39" s="34"/>
      <c r="F39" s="36">
        <v>1572.76</v>
      </c>
      <c r="G39" s="34">
        <f t="shared" si="0"/>
        <v>68779.39</v>
      </c>
    </row>
    <row r="40" spans="2:10" ht="21" x14ac:dyDescent="0.4">
      <c r="B40" s="32">
        <v>31</v>
      </c>
      <c r="C40" s="33" t="s">
        <v>30</v>
      </c>
      <c r="D40" s="38" t="s">
        <v>114</v>
      </c>
      <c r="E40" s="34"/>
      <c r="F40" s="36">
        <v>125.82</v>
      </c>
      <c r="G40" s="34">
        <f t="shared" si="0"/>
        <v>68653.569999999992</v>
      </c>
    </row>
    <row r="41" spans="2:10" ht="21" x14ac:dyDescent="0.4">
      <c r="B41" s="32">
        <v>31</v>
      </c>
      <c r="C41" s="33" t="s">
        <v>121</v>
      </c>
      <c r="D41" s="38" t="s">
        <v>122</v>
      </c>
      <c r="E41" s="34"/>
      <c r="F41" s="36">
        <v>4000</v>
      </c>
      <c r="G41" s="34">
        <f t="shared" si="0"/>
        <v>64653.569999999992</v>
      </c>
    </row>
    <row r="42" spans="2:10" ht="21" x14ac:dyDescent="0.4">
      <c r="B42" s="32">
        <v>31</v>
      </c>
      <c r="C42" s="33" t="s">
        <v>194</v>
      </c>
      <c r="D42" s="38" t="s">
        <v>195</v>
      </c>
      <c r="E42" s="34"/>
      <c r="F42" s="36">
        <v>440</v>
      </c>
      <c r="G42" s="34">
        <f t="shared" si="0"/>
        <v>64213.569999999992</v>
      </c>
    </row>
    <row r="43" spans="2:10" ht="21" x14ac:dyDescent="0.4">
      <c r="B43" s="32">
        <v>31</v>
      </c>
      <c r="C43" s="33" t="s">
        <v>52</v>
      </c>
      <c r="D43" s="34" t="s">
        <v>345</v>
      </c>
      <c r="E43" s="34"/>
      <c r="F43" s="36">
        <v>131.06</v>
      </c>
      <c r="G43" s="34">
        <f t="shared" si="0"/>
        <v>64082.509999999995</v>
      </c>
    </row>
    <row r="44" spans="2:10" ht="21" x14ac:dyDescent="0.4">
      <c r="B44" s="32">
        <v>31</v>
      </c>
      <c r="C44" s="33" t="s">
        <v>167</v>
      </c>
      <c r="D44" s="34" t="s">
        <v>345</v>
      </c>
      <c r="E44" s="34"/>
      <c r="F44" s="36">
        <v>174.74</v>
      </c>
      <c r="G44" s="34">
        <f t="shared" si="0"/>
        <v>63907.77</v>
      </c>
    </row>
    <row r="45" spans="2:10" ht="21" x14ac:dyDescent="0.4">
      <c r="B45" s="32">
        <v>31</v>
      </c>
      <c r="C45" s="33" t="s">
        <v>53</v>
      </c>
      <c r="D45" s="34" t="s">
        <v>345</v>
      </c>
      <c r="E45" s="34"/>
      <c r="F45" s="36">
        <v>24.46</v>
      </c>
      <c r="G45" s="34">
        <f t="shared" si="0"/>
        <v>63883.31</v>
      </c>
      <c r="J45" s="43">
        <f>E46+E95+E146</f>
        <v>28120</v>
      </c>
    </row>
    <row r="46" spans="2:10" ht="18" x14ac:dyDescent="0.35">
      <c r="E46" s="46">
        <f>SUM(E6:E45)</f>
        <v>7780</v>
      </c>
      <c r="F46" s="48"/>
    </row>
    <row r="47" spans="2:10" ht="14.4" x14ac:dyDescent="0.3">
      <c r="J47" s="43">
        <f>F48+F97+F148</f>
        <v>40291.54</v>
      </c>
    </row>
    <row r="48" spans="2:10" ht="25.8" x14ac:dyDescent="0.5">
      <c r="E48" s="44">
        <f>SUM(E5:E45)</f>
        <v>77780</v>
      </c>
      <c r="F48" s="45">
        <f>SUM(F5:F45)</f>
        <v>13896.689999999997</v>
      </c>
      <c r="G48" s="44">
        <f>E48-F48</f>
        <v>63883.310000000005</v>
      </c>
    </row>
    <row r="49" spans="2:10" ht="14.4" x14ac:dyDescent="0.3"/>
    <row r="50" spans="2:10" ht="14.4" x14ac:dyDescent="0.3">
      <c r="B50" s="150" t="s">
        <v>145</v>
      </c>
      <c r="C50" s="145"/>
      <c r="D50" s="145"/>
      <c r="E50" s="145"/>
      <c r="F50" s="145"/>
      <c r="G50" s="146"/>
      <c r="J50" s="43">
        <f>J45-J47</f>
        <v>-12171.54</v>
      </c>
    </row>
    <row r="51" spans="2:10" ht="14.4" x14ac:dyDescent="0.3">
      <c r="B51" s="147"/>
      <c r="C51" s="148"/>
      <c r="D51" s="148"/>
      <c r="E51" s="148"/>
      <c r="F51" s="148"/>
      <c r="G51" s="149"/>
    </row>
    <row r="52" spans="2:10" ht="23.4" x14ac:dyDescent="0.45">
      <c r="B52" s="28" t="s">
        <v>94</v>
      </c>
      <c r="C52" s="28" t="s">
        <v>95</v>
      </c>
      <c r="D52" s="29" t="s">
        <v>101</v>
      </c>
      <c r="E52" s="29" t="s">
        <v>102</v>
      </c>
      <c r="F52" s="30" t="s">
        <v>103</v>
      </c>
      <c r="G52" s="31" t="s">
        <v>96</v>
      </c>
    </row>
    <row r="53" spans="2:10" ht="21" x14ac:dyDescent="0.4">
      <c r="B53" s="82" t="s">
        <v>351</v>
      </c>
      <c r="C53" s="33" t="s">
        <v>96</v>
      </c>
      <c r="E53" s="34">
        <f>G45</f>
        <v>63883.31</v>
      </c>
      <c r="F53" s="34"/>
      <c r="G53" s="34">
        <f>E53</f>
        <v>63883.31</v>
      </c>
    </row>
    <row r="54" spans="2:10" ht="21" x14ac:dyDescent="0.4">
      <c r="B54" s="119">
        <v>3</v>
      </c>
      <c r="C54" s="49" t="s">
        <v>115</v>
      </c>
      <c r="D54" s="50" t="s">
        <v>116</v>
      </c>
      <c r="E54" s="34"/>
      <c r="F54" s="36">
        <v>440</v>
      </c>
      <c r="G54" s="34">
        <f>G53+E54-F54</f>
        <v>63443.31</v>
      </c>
    </row>
    <row r="55" spans="2:10" ht="21" x14ac:dyDescent="0.4">
      <c r="B55" s="32">
        <v>6</v>
      </c>
      <c r="C55" s="49" t="s">
        <v>149</v>
      </c>
      <c r="D55" s="35" t="s">
        <v>221</v>
      </c>
      <c r="E55" s="34">
        <v>150</v>
      </c>
      <c r="F55" s="36"/>
      <c r="G55" s="34">
        <f t="shared" ref="G55:G94" si="1">G54+E55-F55</f>
        <v>63593.31</v>
      </c>
    </row>
    <row r="56" spans="2:10" ht="21" x14ac:dyDescent="0.4">
      <c r="B56" s="32">
        <v>7</v>
      </c>
      <c r="C56" s="33" t="s">
        <v>110</v>
      </c>
      <c r="D56" s="33" t="s">
        <v>177</v>
      </c>
      <c r="E56" s="34"/>
      <c r="F56" s="36">
        <v>122.51</v>
      </c>
      <c r="G56" s="34">
        <f t="shared" si="1"/>
        <v>63470.799999999996</v>
      </c>
    </row>
    <row r="57" spans="2:10" ht="21" x14ac:dyDescent="0.4">
      <c r="B57" s="32">
        <v>7</v>
      </c>
      <c r="C57" s="33" t="s">
        <v>58</v>
      </c>
      <c r="D57" s="38" t="s">
        <v>111</v>
      </c>
      <c r="E57" s="34"/>
      <c r="F57" s="36">
        <v>300</v>
      </c>
      <c r="G57" s="34">
        <f t="shared" si="1"/>
        <v>63170.799999999996</v>
      </c>
    </row>
    <row r="58" spans="2:10" ht="21" x14ac:dyDescent="0.4">
      <c r="B58" s="32">
        <v>7</v>
      </c>
      <c r="C58" s="33" t="s">
        <v>134</v>
      </c>
      <c r="D58" s="41" t="s">
        <v>277</v>
      </c>
      <c r="E58" s="34">
        <v>380</v>
      </c>
      <c r="F58" s="36"/>
      <c r="G58" s="34">
        <f t="shared" si="1"/>
        <v>63550.799999999996</v>
      </c>
    </row>
    <row r="59" spans="2:10" ht="21" x14ac:dyDescent="0.4">
      <c r="B59" s="32">
        <v>7</v>
      </c>
      <c r="C59" s="33" t="s">
        <v>10</v>
      </c>
      <c r="D59" s="59" t="s">
        <v>222</v>
      </c>
      <c r="E59" s="34">
        <v>250</v>
      </c>
      <c r="F59" s="36"/>
      <c r="G59" s="34">
        <f t="shared" si="1"/>
        <v>63800.799999999996</v>
      </c>
    </row>
    <row r="60" spans="2:10" ht="21" x14ac:dyDescent="0.4">
      <c r="B60" s="32">
        <v>7</v>
      </c>
      <c r="C60" s="33" t="s">
        <v>10</v>
      </c>
      <c r="D60" s="61" t="s">
        <v>233</v>
      </c>
      <c r="E60" s="34">
        <v>500</v>
      </c>
      <c r="F60" s="36"/>
      <c r="G60" s="34">
        <f t="shared" si="1"/>
        <v>64300.799999999996</v>
      </c>
    </row>
    <row r="61" spans="2:10" ht="21" x14ac:dyDescent="0.4">
      <c r="B61" s="32">
        <v>7</v>
      </c>
      <c r="C61" s="33" t="s">
        <v>67</v>
      </c>
      <c r="D61" s="38" t="s">
        <v>283</v>
      </c>
      <c r="E61" s="34"/>
      <c r="F61" s="36">
        <v>553.20000000000005</v>
      </c>
      <c r="G61" s="34">
        <f t="shared" si="1"/>
        <v>63747.6</v>
      </c>
    </row>
    <row r="62" spans="2:10" ht="21" x14ac:dyDescent="0.4">
      <c r="B62" s="32">
        <v>10</v>
      </c>
      <c r="C62" s="33" t="s">
        <v>68</v>
      </c>
      <c r="D62" s="38" t="s">
        <v>284</v>
      </c>
      <c r="E62" s="34"/>
      <c r="F62" s="36">
        <v>403.33</v>
      </c>
      <c r="G62" s="34">
        <f t="shared" si="1"/>
        <v>63344.27</v>
      </c>
    </row>
    <row r="63" spans="2:10" ht="21" x14ac:dyDescent="0.4">
      <c r="B63" s="32">
        <v>10</v>
      </c>
      <c r="C63" s="33" t="s">
        <v>146</v>
      </c>
      <c r="D63" s="38" t="s">
        <v>147</v>
      </c>
      <c r="E63" s="34"/>
      <c r="F63" s="36">
        <v>139.97999999999999</v>
      </c>
      <c r="G63" s="34">
        <f t="shared" si="1"/>
        <v>63204.289999999994</v>
      </c>
    </row>
    <row r="64" spans="2:10" ht="21" x14ac:dyDescent="0.4">
      <c r="B64" s="32">
        <v>11</v>
      </c>
      <c r="C64" s="49" t="s">
        <v>154</v>
      </c>
      <c r="D64" s="64" t="s">
        <v>258</v>
      </c>
      <c r="E64" s="34">
        <v>550</v>
      </c>
      <c r="F64" s="36"/>
      <c r="G64" s="34">
        <f t="shared" si="1"/>
        <v>63754.289999999994</v>
      </c>
    </row>
    <row r="65" spans="2:7" ht="21" x14ac:dyDescent="0.4">
      <c r="B65" s="32">
        <v>13</v>
      </c>
      <c r="C65" s="49" t="s">
        <v>256</v>
      </c>
      <c r="D65" s="50" t="s">
        <v>257</v>
      </c>
      <c r="E65" s="34">
        <v>300</v>
      </c>
      <c r="F65" s="36"/>
      <c r="G65" s="34">
        <f t="shared" si="1"/>
        <v>64054.289999999994</v>
      </c>
    </row>
    <row r="66" spans="2:7" ht="21" x14ac:dyDescent="0.4">
      <c r="B66" s="32">
        <v>13</v>
      </c>
      <c r="C66" s="33" t="s">
        <v>139</v>
      </c>
      <c r="D66" s="35" t="s">
        <v>223</v>
      </c>
      <c r="E66" s="34">
        <v>150</v>
      </c>
      <c r="F66" s="36"/>
      <c r="G66" s="34">
        <f t="shared" si="1"/>
        <v>64204.289999999994</v>
      </c>
    </row>
    <row r="67" spans="2:7" ht="21" x14ac:dyDescent="0.4">
      <c r="B67" s="56">
        <v>14</v>
      </c>
      <c r="C67" s="35" t="s">
        <v>11</v>
      </c>
      <c r="D67" s="69" t="s">
        <v>272</v>
      </c>
      <c r="E67" s="34">
        <v>800</v>
      </c>
      <c r="F67" s="36"/>
      <c r="G67" s="34">
        <f t="shared" si="1"/>
        <v>65004.289999999994</v>
      </c>
    </row>
    <row r="68" spans="2:7" ht="21" x14ac:dyDescent="0.4">
      <c r="B68" s="56">
        <v>14</v>
      </c>
      <c r="C68" s="33" t="s">
        <v>12</v>
      </c>
      <c r="D68" s="68" t="s">
        <v>271</v>
      </c>
      <c r="E68" s="34">
        <v>1000</v>
      </c>
      <c r="F68" s="36"/>
      <c r="G68" s="34">
        <f t="shared" si="1"/>
        <v>66004.289999999994</v>
      </c>
    </row>
    <row r="69" spans="2:7" ht="21" x14ac:dyDescent="0.4">
      <c r="B69" s="32">
        <v>14</v>
      </c>
      <c r="C69" s="35" t="s">
        <v>40</v>
      </c>
      <c r="D69" s="42" t="s">
        <v>148</v>
      </c>
      <c r="E69" s="34"/>
      <c r="F69" s="36">
        <v>295</v>
      </c>
      <c r="G69" s="34">
        <f t="shared" si="1"/>
        <v>65709.289999999994</v>
      </c>
    </row>
    <row r="70" spans="2:7" ht="21" x14ac:dyDescent="0.4">
      <c r="B70" s="32">
        <v>14</v>
      </c>
      <c r="C70" s="35" t="s">
        <v>125</v>
      </c>
      <c r="D70" s="38" t="s">
        <v>126</v>
      </c>
      <c r="E70" s="34"/>
      <c r="F70" s="36">
        <v>185.19</v>
      </c>
      <c r="G70" s="34">
        <f t="shared" si="1"/>
        <v>65524.099999999991</v>
      </c>
    </row>
    <row r="71" spans="2:7" ht="21" x14ac:dyDescent="0.4">
      <c r="B71" s="32">
        <v>17</v>
      </c>
      <c r="C71" s="33" t="s">
        <v>149</v>
      </c>
      <c r="D71" s="58" t="s">
        <v>150</v>
      </c>
      <c r="E71" s="34">
        <v>150</v>
      </c>
      <c r="F71" s="36"/>
      <c r="G71" s="34">
        <f t="shared" si="1"/>
        <v>65674.099999999991</v>
      </c>
    </row>
    <row r="72" spans="2:7" ht="21" x14ac:dyDescent="0.4">
      <c r="B72" s="32">
        <v>17</v>
      </c>
      <c r="C72" s="33" t="s">
        <v>88</v>
      </c>
      <c r="D72" s="34" t="s">
        <v>151</v>
      </c>
      <c r="E72" s="34">
        <v>600</v>
      </c>
      <c r="F72" s="36"/>
      <c r="G72" s="34">
        <f t="shared" si="1"/>
        <v>66274.099999999991</v>
      </c>
    </row>
    <row r="73" spans="2:7" ht="21" x14ac:dyDescent="0.4">
      <c r="B73" s="32">
        <v>17</v>
      </c>
      <c r="C73" s="49" t="s">
        <v>154</v>
      </c>
      <c r="D73" s="51" t="s">
        <v>259</v>
      </c>
      <c r="E73" s="34">
        <v>550</v>
      </c>
      <c r="F73" s="36"/>
      <c r="G73" s="34">
        <f t="shared" si="1"/>
        <v>66824.099999999991</v>
      </c>
    </row>
    <row r="74" spans="2:7" ht="21" x14ac:dyDescent="0.4">
      <c r="B74" s="32">
        <v>18</v>
      </c>
      <c r="C74" s="49" t="s">
        <v>256</v>
      </c>
      <c r="D74" s="51" t="s">
        <v>260</v>
      </c>
      <c r="E74" s="34">
        <v>300</v>
      </c>
      <c r="F74" s="36"/>
      <c r="G74" s="34">
        <f t="shared" si="1"/>
        <v>67124.099999999991</v>
      </c>
    </row>
    <row r="75" spans="2:7" ht="21" x14ac:dyDescent="0.4">
      <c r="B75" s="118">
        <v>20</v>
      </c>
      <c r="C75" s="33" t="s">
        <v>343</v>
      </c>
      <c r="D75" s="51" t="s">
        <v>200</v>
      </c>
      <c r="E75" s="34"/>
      <c r="F75" s="36">
        <v>226.09</v>
      </c>
      <c r="G75" s="34">
        <f t="shared" si="1"/>
        <v>66898.009999999995</v>
      </c>
    </row>
    <row r="76" spans="2:7" ht="21" x14ac:dyDescent="0.4">
      <c r="B76" s="118">
        <v>20</v>
      </c>
      <c r="C76" s="33" t="s">
        <v>127</v>
      </c>
      <c r="D76" s="51" t="s">
        <v>200</v>
      </c>
      <c r="E76" s="34"/>
      <c r="F76" s="36">
        <v>191.09</v>
      </c>
      <c r="G76" s="34">
        <f t="shared" si="1"/>
        <v>66706.92</v>
      </c>
    </row>
    <row r="77" spans="2:7" ht="21" x14ac:dyDescent="0.4">
      <c r="B77" s="32">
        <v>20</v>
      </c>
      <c r="C77" s="33" t="s">
        <v>129</v>
      </c>
      <c r="D77" s="34" t="s">
        <v>130</v>
      </c>
      <c r="E77" s="34"/>
      <c r="F77" s="36">
        <v>149.71</v>
      </c>
      <c r="G77" s="34">
        <f t="shared" si="1"/>
        <v>66557.209999999992</v>
      </c>
    </row>
    <row r="78" spans="2:7" ht="21" x14ac:dyDescent="0.4">
      <c r="B78" s="32">
        <v>20</v>
      </c>
      <c r="C78" s="33" t="s">
        <v>45</v>
      </c>
      <c r="D78" s="34" t="s">
        <v>152</v>
      </c>
      <c r="E78" s="34"/>
      <c r="F78" s="36">
        <v>600</v>
      </c>
      <c r="G78" s="34">
        <f t="shared" si="1"/>
        <v>65957.209999999992</v>
      </c>
    </row>
    <row r="79" spans="2:7" ht="21" x14ac:dyDescent="0.4">
      <c r="B79" s="32">
        <v>21</v>
      </c>
      <c r="C79" s="33" t="s">
        <v>131</v>
      </c>
      <c r="D79" s="34" t="s">
        <v>153</v>
      </c>
      <c r="E79" s="34">
        <v>380</v>
      </c>
      <c r="F79" s="36"/>
      <c r="G79" s="34">
        <f t="shared" si="1"/>
        <v>66337.209999999992</v>
      </c>
    </row>
    <row r="80" spans="2:7" ht="21" x14ac:dyDescent="0.4">
      <c r="B80" s="32">
        <v>21</v>
      </c>
      <c r="C80" s="33" t="s">
        <v>224</v>
      </c>
      <c r="D80" s="55" t="s">
        <v>230</v>
      </c>
      <c r="E80" s="34">
        <v>1200</v>
      </c>
      <c r="F80" s="36"/>
      <c r="G80" s="34">
        <f t="shared" si="1"/>
        <v>67537.209999999992</v>
      </c>
    </row>
    <row r="81" spans="2:10" ht="21" x14ac:dyDescent="0.4">
      <c r="B81" s="32">
        <v>24</v>
      </c>
      <c r="C81" s="33" t="s">
        <v>10</v>
      </c>
      <c r="D81" s="57" t="s">
        <v>136</v>
      </c>
      <c r="E81" s="34">
        <v>250</v>
      </c>
      <c r="F81" s="36"/>
      <c r="G81" s="34">
        <f t="shared" si="1"/>
        <v>67787.209999999992</v>
      </c>
    </row>
    <row r="82" spans="2:10" ht="21" x14ac:dyDescent="0.4">
      <c r="B82" s="32">
        <v>24</v>
      </c>
      <c r="C82" s="33" t="s">
        <v>88</v>
      </c>
      <c r="D82" s="34" t="s">
        <v>156</v>
      </c>
      <c r="E82" s="34">
        <v>450</v>
      </c>
      <c r="F82" s="36"/>
      <c r="G82" s="34">
        <f t="shared" si="1"/>
        <v>68237.209999999992</v>
      </c>
    </row>
    <row r="83" spans="2:10" ht="21" x14ac:dyDescent="0.4">
      <c r="B83" s="32">
        <v>25</v>
      </c>
      <c r="C83" s="33" t="s">
        <v>88</v>
      </c>
      <c r="D83" s="34" t="s">
        <v>157</v>
      </c>
      <c r="E83" s="34">
        <v>750</v>
      </c>
      <c r="F83" s="36"/>
      <c r="G83" s="34">
        <f t="shared" si="1"/>
        <v>68987.209999999992</v>
      </c>
    </row>
    <row r="84" spans="2:10" ht="21" x14ac:dyDescent="0.4">
      <c r="B84" s="32">
        <v>27</v>
      </c>
      <c r="C84" s="33" t="s">
        <v>137</v>
      </c>
      <c r="D84" s="34" t="s">
        <v>138</v>
      </c>
      <c r="E84" s="34"/>
      <c r="F84" s="36">
        <v>290</v>
      </c>
      <c r="G84" s="34">
        <f t="shared" si="1"/>
        <v>68697.209999999992</v>
      </c>
    </row>
    <row r="85" spans="2:10" ht="21" x14ac:dyDescent="0.4">
      <c r="B85" s="32">
        <v>27</v>
      </c>
      <c r="C85" s="33" t="s">
        <v>139</v>
      </c>
      <c r="D85" s="34" t="s">
        <v>158</v>
      </c>
      <c r="E85" s="34">
        <v>150</v>
      </c>
      <c r="F85" s="36"/>
      <c r="G85" s="34">
        <f t="shared" si="1"/>
        <v>68847.209999999992</v>
      </c>
    </row>
    <row r="86" spans="2:10" ht="21" x14ac:dyDescent="0.4">
      <c r="B86" s="32">
        <v>27</v>
      </c>
      <c r="C86" s="33" t="s">
        <v>139</v>
      </c>
      <c r="D86" s="34" t="s">
        <v>159</v>
      </c>
      <c r="E86" s="34">
        <v>150</v>
      </c>
      <c r="F86" s="36"/>
      <c r="G86" s="34">
        <f t="shared" si="1"/>
        <v>68997.209999999992</v>
      </c>
    </row>
    <row r="87" spans="2:10" ht="21" x14ac:dyDescent="0.4">
      <c r="B87" s="56">
        <v>28</v>
      </c>
      <c r="C87" s="33" t="s">
        <v>12</v>
      </c>
      <c r="D87" s="62" t="s">
        <v>250</v>
      </c>
      <c r="E87" s="34">
        <v>1000</v>
      </c>
      <c r="F87" s="36"/>
      <c r="G87" s="34">
        <f t="shared" si="1"/>
        <v>69997.209999999992</v>
      </c>
    </row>
    <row r="88" spans="2:10" ht="21" x14ac:dyDescent="0.4">
      <c r="B88" s="32">
        <v>28</v>
      </c>
      <c r="C88" s="33" t="s">
        <v>112</v>
      </c>
      <c r="D88" s="38" t="s">
        <v>113</v>
      </c>
      <c r="E88" s="34"/>
      <c r="F88" s="36">
        <v>2881.82</v>
      </c>
      <c r="G88" s="34">
        <f t="shared" si="1"/>
        <v>67115.389999999985</v>
      </c>
    </row>
    <row r="89" spans="2:10" ht="21" x14ac:dyDescent="0.4">
      <c r="B89" s="32">
        <v>28</v>
      </c>
      <c r="C89" s="33" t="s">
        <v>30</v>
      </c>
      <c r="D89" s="38" t="s">
        <v>114</v>
      </c>
      <c r="E89" s="34"/>
      <c r="F89" s="36">
        <v>230.55</v>
      </c>
      <c r="G89" s="34">
        <f t="shared" si="1"/>
        <v>66884.839999999982</v>
      </c>
    </row>
    <row r="90" spans="2:10" ht="21" x14ac:dyDescent="0.4">
      <c r="B90" s="32">
        <v>28</v>
      </c>
      <c r="C90" s="33" t="s">
        <v>121</v>
      </c>
      <c r="D90" s="38" t="s">
        <v>122</v>
      </c>
      <c r="E90" s="34"/>
      <c r="F90" s="36">
        <v>4000</v>
      </c>
      <c r="G90" s="34">
        <f t="shared" si="1"/>
        <v>62884.839999999982</v>
      </c>
    </row>
    <row r="91" spans="2:10" ht="21" x14ac:dyDescent="0.4">
      <c r="B91" s="32">
        <v>28</v>
      </c>
      <c r="C91" s="49" t="s">
        <v>194</v>
      </c>
      <c r="D91" s="50" t="s">
        <v>195</v>
      </c>
      <c r="E91" s="34"/>
      <c r="F91" s="36">
        <v>440</v>
      </c>
      <c r="G91" s="34">
        <f t="shared" si="1"/>
        <v>62444.839999999982</v>
      </c>
    </row>
    <row r="92" spans="2:10" ht="21" x14ac:dyDescent="0.4">
      <c r="B92" s="32">
        <v>28</v>
      </c>
      <c r="C92" s="33" t="s">
        <v>52</v>
      </c>
      <c r="D92" s="34" t="s">
        <v>344</v>
      </c>
      <c r="E92" s="34"/>
      <c r="F92" s="36">
        <v>240.15</v>
      </c>
      <c r="G92" s="34">
        <f t="shared" si="1"/>
        <v>62204.689999999981</v>
      </c>
    </row>
    <row r="93" spans="2:10" ht="21" x14ac:dyDescent="0.4">
      <c r="B93" s="32">
        <v>28</v>
      </c>
      <c r="C93" s="33" t="s">
        <v>167</v>
      </c>
      <c r="D93" s="34" t="s">
        <v>344</v>
      </c>
      <c r="E93" s="34"/>
      <c r="F93" s="36">
        <v>320.19</v>
      </c>
      <c r="G93" s="34">
        <f t="shared" si="1"/>
        <v>61884.499999999978</v>
      </c>
    </row>
    <row r="94" spans="2:10" ht="21" x14ac:dyDescent="0.4">
      <c r="B94" s="32">
        <v>28</v>
      </c>
      <c r="C94" s="33" t="s">
        <v>53</v>
      </c>
      <c r="D94" s="34" t="s">
        <v>344</v>
      </c>
      <c r="E94" s="34"/>
      <c r="F94" s="36">
        <v>44.82</v>
      </c>
      <c r="G94" s="34">
        <f t="shared" si="1"/>
        <v>61839.679999999978</v>
      </c>
    </row>
    <row r="95" spans="2:10" ht="14.4" x14ac:dyDescent="0.3">
      <c r="E95" s="46">
        <f>SUM(E55:E93)</f>
        <v>10010</v>
      </c>
      <c r="F95" s="26"/>
      <c r="J95" s="43">
        <f>E46+E95</f>
        <v>17790</v>
      </c>
    </row>
    <row r="96" spans="2:10" ht="14.4" x14ac:dyDescent="0.3">
      <c r="J96" s="43">
        <f>F48+F97</f>
        <v>25950.32</v>
      </c>
    </row>
    <row r="97" spans="2:10" ht="25.8" x14ac:dyDescent="0.5">
      <c r="E97" s="44">
        <f>SUM(E53:E93)</f>
        <v>73893.31</v>
      </c>
      <c r="F97" s="45">
        <f>SUM(F53:F94)</f>
        <v>12053.630000000001</v>
      </c>
      <c r="G97" s="44">
        <f>E97-F97</f>
        <v>61839.679999999993</v>
      </c>
      <c r="J97" s="43">
        <f>70000+J95-J96</f>
        <v>61839.68</v>
      </c>
    </row>
    <row r="98" spans="2:10" ht="14.4" x14ac:dyDescent="0.3"/>
    <row r="99" spans="2:10" ht="14.4" x14ac:dyDescent="0.3">
      <c r="B99" s="144" t="s">
        <v>180</v>
      </c>
      <c r="C99" s="145"/>
      <c r="D99" s="145"/>
      <c r="E99" s="145"/>
      <c r="F99" s="145"/>
      <c r="G99" s="146"/>
    </row>
    <row r="100" spans="2:10" ht="14.4" x14ac:dyDescent="0.3">
      <c r="B100" s="147"/>
      <c r="C100" s="148"/>
      <c r="D100" s="148"/>
      <c r="E100" s="148"/>
      <c r="F100" s="148"/>
      <c r="G100" s="149"/>
    </row>
    <row r="101" spans="2:10" ht="23.4" x14ac:dyDescent="0.45">
      <c r="B101" s="28" t="s">
        <v>94</v>
      </c>
      <c r="C101" s="28" t="s">
        <v>95</v>
      </c>
      <c r="D101" s="29" t="s">
        <v>101</v>
      </c>
      <c r="E101" s="29" t="s">
        <v>102</v>
      </c>
      <c r="F101" s="30" t="s">
        <v>103</v>
      </c>
      <c r="G101" s="31" t="s">
        <v>96</v>
      </c>
    </row>
    <row r="102" spans="2:10" ht="21" x14ac:dyDescent="0.4">
      <c r="B102" s="82" t="s">
        <v>306</v>
      </c>
      <c r="C102" s="33" t="s">
        <v>96</v>
      </c>
      <c r="E102" s="34">
        <f>G94</f>
        <v>61839.679999999978</v>
      </c>
      <c r="F102" s="34"/>
      <c r="G102" s="34">
        <f>E102</f>
        <v>61839.679999999978</v>
      </c>
    </row>
    <row r="103" spans="2:10" ht="21" x14ac:dyDescent="0.4">
      <c r="B103" s="32">
        <v>6</v>
      </c>
      <c r="C103" s="33" t="s">
        <v>139</v>
      </c>
      <c r="D103" s="52" t="s">
        <v>225</v>
      </c>
      <c r="E103" s="34">
        <v>150</v>
      </c>
      <c r="F103" s="36"/>
      <c r="G103" s="34">
        <f t="shared" ref="G103:G145" si="2">G102+E103-F103</f>
        <v>61989.679999999978</v>
      </c>
    </row>
    <row r="104" spans="2:10" ht="21" x14ac:dyDescent="0.4">
      <c r="B104" s="32">
        <v>6</v>
      </c>
      <c r="C104" s="49" t="s">
        <v>198</v>
      </c>
      <c r="D104" s="50" t="s">
        <v>116</v>
      </c>
      <c r="E104" s="34"/>
      <c r="F104" s="36">
        <v>440</v>
      </c>
      <c r="G104" s="34">
        <f t="shared" si="2"/>
        <v>61549.679999999978</v>
      </c>
    </row>
    <row r="105" spans="2:10" ht="21" x14ac:dyDescent="0.4">
      <c r="B105" s="32">
        <v>7</v>
      </c>
      <c r="C105" s="33" t="s">
        <v>110</v>
      </c>
      <c r="D105" s="33" t="s">
        <v>177</v>
      </c>
      <c r="E105" s="34"/>
      <c r="F105" s="36">
        <v>134.94999999999999</v>
      </c>
      <c r="G105" s="34">
        <f t="shared" si="2"/>
        <v>61414.729999999981</v>
      </c>
    </row>
    <row r="106" spans="2:10" ht="21" x14ac:dyDescent="0.4">
      <c r="B106" s="32">
        <v>7</v>
      </c>
      <c r="C106" s="33" t="s">
        <v>58</v>
      </c>
      <c r="D106" s="38" t="s">
        <v>111</v>
      </c>
      <c r="E106" s="34"/>
      <c r="F106" s="36">
        <v>180</v>
      </c>
      <c r="G106" s="34">
        <f t="shared" si="2"/>
        <v>61234.729999999981</v>
      </c>
    </row>
    <row r="107" spans="2:10" ht="21" x14ac:dyDescent="0.4">
      <c r="B107" s="32">
        <v>7</v>
      </c>
      <c r="C107" s="33" t="s">
        <v>10</v>
      </c>
      <c r="D107" s="59" t="s">
        <v>226</v>
      </c>
      <c r="E107" s="34">
        <v>250</v>
      </c>
      <c r="F107" s="36"/>
      <c r="G107" s="34">
        <f t="shared" si="2"/>
        <v>61484.729999999981</v>
      </c>
    </row>
    <row r="108" spans="2:10" ht="21" x14ac:dyDescent="0.4">
      <c r="B108" s="32">
        <v>7</v>
      </c>
      <c r="C108" s="33" t="s">
        <v>297</v>
      </c>
      <c r="D108" s="59" t="s">
        <v>227</v>
      </c>
      <c r="E108" s="34">
        <v>500</v>
      </c>
      <c r="F108" s="36"/>
      <c r="G108" s="34">
        <f t="shared" si="2"/>
        <v>61984.729999999981</v>
      </c>
    </row>
    <row r="109" spans="2:10" ht="21" x14ac:dyDescent="0.4">
      <c r="B109" s="32">
        <v>10</v>
      </c>
      <c r="C109" s="33" t="s">
        <v>118</v>
      </c>
      <c r="D109" s="38" t="s">
        <v>285</v>
      </c>
      <c r="E109" s="34"/>
      <c r="F109" s="36">
        <v>553.20000000000005</v>
      </c>
      <c r="G109" s="34">
        <f t="shared" si="2"/>
        <v>61431.529999999984</v>
      </c>
    </row>
    <row r="110" spans="2:10" ht="21" x14ac:dyDescent="0.4">
      <c r="B110" s="32">
        <v>10</v>
      </c>
      <c r="C110" s="49" t="s">
        <v>57</v>
      </c>
      <c r="D110" s="50" t="s">
        <v>199</v>
      </c>
      <c r="E110" s="34"/>
      <c r="F110" s="36">
        <v>218.36</v>
      </c>
      <c r="G110" s="34">
        <f t="shared" si="2"/>
        <v>61213.169999999984</v>
      </c>
    </row>
    <row r="111" spans="2:10" ht="21" x14ac:dyDescent="0.4">
      <c r="B111" s="32">
        <v>10</v>
      </c>
      <c r="C111" s="33" t="s">
        <v>68</v>
      </c>
      <c r="D111" s="38" t="s">
        <v>286</v>
      </c>
      <c r="E111" s="34"/>
      <c r="F111" s="36">
        <v>403.33</v>
      </c>
      <c r="G111" s="34">
        <f t="shared" si="2"/>
        <v>60809.839999999982</v>
      </c>
    </row>
    <row r="112" spans="2:10" ht="21" x14ac:dyDescent="0.4">
      <c r="B112" s="32">
        <v>10</v>
      </c>
      <c r="C112" s="33" t="s">
        <v>146</v>
      </c>
      <c r="D112" s="38" t="s">
        <v>147</v>
      </c>
      <c r="E112" s="34"/>
      <c r="F112" s="36">
        <v>139.97999999999999</v>
      </c>
      <c r="G112" s="34">
        <f t="shared" si="2"/>
        <v>60669.859999999979</v>
      </c>
    </row>
    <row r="113" spans="2:7" ht="21" x14ac:dyDescent="0.4">
      <c r="B113" s="56">
        <v>13</v>
      </c>
      <c r="C113" s="33" t="s">
        <v>12</v>
      </c>
      <c r="D113" s="70" t="s">
        <v>239</v>
      </c>
      <c r="E113" s="34">
        <v>1000</v>
      </c>
      <c r="F113" s="36"/>
      <c r="G113" s="34">
        <f t="shared" si="2"/>
        <v>61669.859999999979</v>
      </c>
    </row>
    <row r="114" spans="2:7" ht="21" x14ac:dyDescent="0.4">
      <c r="B114" s="32">
        <v>13</v>
      </c>
      <c r="C114" s="33" t="s">
        <v>139</v>
      </c>
      <c r="D114" s="35" t="s">
        <v>228</v>
      </c>
      <c r="E114" s="34">
        <v>150</v>
      </c>
      <c r="F114" s="36"/>
      <c r="G114" s="34">
        <f t="shared" si="2"/>
        <v>61819.859999999979</v>
      </c>
    </row>
    <row r="115" spans="2:7" ht="21" x14ac:dyDescent="0.4">
      <c r="B115" s="54">
        <v>14</v>
      </c>
      <c r="C115" s="49" t="s">
        <v>11</v>
      </c>
      <c r="D115" s="69" t="s">
        <v>272</v>
      </c>
      <c r="E115" s="34">
        <v>800</v>
      </c>
      <c r="F115" s="36"/>
      <c r="G115" s="34">
        <f t="shared" si="2"/>
        <v>62619.859999999979</v>
      </c>
    </row>
    <row r="116" spans="2:7" ht="21" x14ac:dyDescent="0.4">
      <c r="B116" s="54">
        <v>14</v>
      </c>
      <c r="C116" s="33" t="s">
        <v>12</v>
      </c>
      <c r="D116" s="68" t="s">
        <v>273</v>
      </c>
      <c r="E116" s="34">
        <v>1000</v>
      </c>
      <c r="F116" s="36"/>
      <c r="G116" s="34">
        <f t="shared" si="2"/>
        <v>63619.859999999979</v>
      </c>
    </row>
    <row r="117" spans="2:7" ht="21" x14ac:dyDescent="0.4">
      <c r="B117" s="32">
        <v>14</v>
      </c>
      <c r="C117" s="35" t="s">
        <v>40</v>
      </c>
      <c r="D117" s="42" t="s">
        <v>148</v>
      </c>
      <c r="E117" s="34"/>
      <c r="F117" s="36">
        <v>295</v>
      </c>
      <c r="G117" s="34">
        <f t="shared" si="2"/>
        <v>63324.859999999979</v>
      </c>
    </row>
    <row r="118" spans="2:7" ht="21" x14ac:dyDescent="0.4">
      <c r="B118" s="32">
        <v>14</v>
      </c>
      <c r="C118" s="35" t="s">
        <v>125</v>
      </c>
      <c r="D118" s="38" t="s">
        <v>126</v>
      </c>
      <c r="E118" s="34"/>
      <c r="F118" s="36">
        <v>182.41</v>
      </c>
      <c r="G118" s="34">
        <f t="shared" si="2"/>
        <v>63142.449999999975</v>
      </c>
    </row>
    <row r="119" spans="2:7" ht="21" x14ac:dyDescent="0.4">
      <c r="B119" s="32">
        <v>17</v>
      </c>
      <c r="C119" s="33" t="s">
        <v>10</v>
      </c>
      <c r="D119" s="58" t="s">
        <v>150</v>
      </c>
      <c r="E119" s="34">
        <v>250</v>
      </c>
      <c r="F119" s="36"/>
      <c r="G119" s="34">
        <f t="shared" si="2"/>
        <v>63392.449999999975</v>
      </c>
    </row>
    <row r="120" spans="2:7" ht="21" x14ac:dyDescent="0.4">
      <c r="B120" s="32">
        <v>17</v>
      </c>
      <c r="C120" s="33" t="s">
        <v>298</v>
      </c>
      <c r="D120" s="40" t="s">
        <v>229</v>
      </c>
      <c r="E120" s="34">
        <v>300</v>
      </c>
      <c r="F120" s="36"/>
      <c r="G120" s="34">
        <f t="shared" si="2"/>
        <v>63692.449999999975</v>
      </c>
    </row>
    <row r="121" spans="2:7" ht="21" x14ac:dyDescent="0.4">
      <c r="B121" s="32">
        <v>17</v>
      </c>
      <c r="C121" s="33" t="s">
        <v>299</v>
      </c>
      <c r="D121" s="65" t="s">
        <v>262</v>
      </c>
      <c r="E121" s="34">
        <v>300</v>
      </c>
      <c r="F121" s="36"/>
      <c r="G121" s="34">
        <f t="shared" si="2"/>
        <v>63992.449999999975</v>
      </c>
    </row>
    <row r="122" spans="2:7" ht="21" x14ac:dyDescent="0.4">
      <c r="B122" s="32">
        <v>17</v>
      </c>
      <c r="C122" s="33" t="s">
        <v>300</v>
      </c>
      <c r="D122" s="51" t="s">
        <v>202</v>
      </c>
      <c r="E122" s="34">
        <v>300</v>
      </c>
      <c r="F122" s="36"/>
      <c r="G122" s="34">
        <f t="shared" si="2"/>
        <v>64292.449999999975</v>
      </c>
    </row>
    <row r="123" spans="2:7" ht="21" x14ac:dyDescent="0.4">
      <c r="B123" s="118">
        <v>20</v>
      </c>
      <c r="C123" s="33" t="s">
        <v>343</v>
      </c>
      <c r="D123" s="51" t="s">
        <v>200</v>
      </c>
      <c r="E123" s="34"/>
      <c r="F123" s="36">
        <v>226.09</v>
      </c>
      <c r="G123" s="34">
        <f t="shared" si="2"/>
        <v>64066.359999999979</v>
      </c>
    </row>
    <row r="124" spans="2:7" ht="21" x14ac:dyDescent="0.4">
      <c r="B124" s="118">
        <v>20</v>
      </c>
      <c r="C124" s="33" t="s">
        <v>127</v>
      </c>
      <c r="D124" s="34" t="s">
        <v>128</v>
      </c>
      <c r="E124" s="34"/>
      <c r="F124" s="36">
        <v>172.91</v>
      </c>
      <c r="G124" s="34">
        <f t="shared" si="2"/>
        <v>63893.449999999975</v>
      </c>
    </row>
    <row r="125" spans="2:7" ht="21" x14ac:dyDescent="0.4">
      <c r="B125" s="32">
        <v>20</v>
      </c>
      <c r="C125" s="33" t="s">
        <v>129</v>
      </c>
      <c r="D125" s="34" t="s">
        <v>130</v>
      </c>
      <c r="E125" s="34"/>
      <c r="F125" s="36">
        <v>147.46</v>
      </c>
      <c r="G125" s="34">
        <f t="shared" si="2"/>
        <v>63745.989999999976</v>
      </c>
    </row>
    <row r="126" spans="2:7" ht="21" x14ac:dyDescent="0.4">
      <c r="B126" s="32">
        <v>20</v>
      </c>
      <c r="C126" s="33" t="s">
        <v>45</v>
      </c>
      <c r="D126" s="34" t="s">
        <v>152</v>
      </c>
      <c r="E126" s="34"/>
      <c r="F126" s="36">
        <v>600</v>
      </c>
      <c r="G126" s="34">
        <f t="shared" si="2"/>
        <v>63145.989999999976</v>
      </c>
    </row>
    <row r="127" spans="2:7" ht="21" x14ac:dyDescent="0.4">
      <c r="B127" s="32">
        <v>21</v>
      </c>
      <c r="C127" s="33" t="s">
        <v>131</v>
      </c>
      <c r="D127" s="51" t="s">
        <v>203</v>
      </c>
      <c r="E127" s="34">
        <v>380</v>
      </c>
      <c r="F127" s="36"/>
      <c r="G127" s="34">
        <f t="shared" si="2"/>
        <v>63525.989999999976</v>
      </c>
    </row>
    <row r="128" spans="2:7" ht="21" x14ac:dyDescent="0.4">
      <c r="B128" s="32">
        <v>21</v>
      </c>
      <c r="C128" s="33" t="s">
        <v>154</v>
      </c>
      <c r="D128" s="51" t="s">
        <v>155</v>
      </c>
      <c r="E128" s="34">
        <v>550</v>
      </c>
      <c r="F128" s="36"/>
      <c r="G128" s="34">
        <f t="shared" si="2"/>
        <v>64075.989999999976</v>
      </c>
    </row>
    <row r="129" spans="2:7" ht="21" x14ac:dyDescent="0.4">
      <c r="B129" s="32">
        <v>21</v>
      </c>
      <c r="C129" s="33" t="s">
        <v>224</v>
      </c>
      <c r="D129" s="55" t="s">
        <v>230</v>
      </c>
      <c r="E129" s="34">
        <v>800</v>
      </c>
      <c r="F129" s="36"/>
      <c r="G129" s="34">
        <f t="shared" si="2"/>
        <v>64875.989999999976</v>
      </c>
    </row>
    <row r="130" spans="2:7" ht="21" x14ac:dyDescent="0.4">
      <c r="B130" s="32">
        <v>24</v>
      </c>
      <c r="C130" s="33" t="s">
        <v>154</v>
      </c>
      <c r="D130" s="51" t="s">
        <v>204</v>
      </c>
      <c r="E130" s="34">
        <v>550</v>
      </c>
      <c r="F130" s="36"/>
      <c r="G130" s="34">
        <f t="shared" si="2"/>
        <v>65425.989999999976</v>
      </c>
    </row>
    <row r="131" spans="2:7" ht="21" x14ac:dyDescent="0.4">
      <c r="B131" s="32">
        <v>24</v>
      </c>
      <c r="C131" s="33" t="s">
        <v>10</v>
      </c>
      <c r="D131" s="57" t="s">
        <v>136</v>
      </c>
      <c r="E131" s="34">
        <v>250</v>
      </c>
      <c r="F131" s="36"/>
      <c r="G131" s="34">
        <f t="shared" si="2"/>
        <v>65675.989999999976</v>
      </c>
    </row>
    <row r="132" spans="2:7" ht="21" x14ac:dyDescent="0.4">
      <c r="B132" s="32">
        <v>24</v>
      </c>
      <c r="C132" s="33" t="s">
        <v>301</v>
      </c>
      <c r="D132" s="51" t="s">
        <v>205</v>
      </c>
      <c r="E132" s="34">
        <v>900</v>
      </c>
      <c r="F132" s="36"/>
      <c r="G132" s="34">
        <f t="shared" si="2"/>
        <v>66575.989999999976</v>
      </c>
    </row>
    <row r="133" spans="2:7" ht="21" x14ac:dyDescent="0.4">
      <c r="B133" s="32">
        <v>25</v>
      </c>
      <c r="C133" s="33" t="s">
        <v>302</v>
      </c>
      <c r="D133" s="51" t="s">
        <v>206</v>
      </c>
      <c r="E133" s="34">
        <v>600</v>
      </c>
      <c r="F133" s="36"/>
      <c r="G133" s="34">
        <f t="shared" si="2"/>
        <v>67175.989999999976</v>
      </c>
    </row>
    <row r="134" spans="2:7" ht="21" x14ac:dyDescent="0.4">
      <c r="B134" s="32">
        <v>27</v>
      </c>
      <c r="C134" s="33" t="s">
        <v>137</v>
      </c>
      <c r="D134" s="34" t="s">
        <v>138</v>
      </c>
      <c r="E134" s="34"/>
      <c r="F134" s="36">
        <v>290</v>
      </c>
      <c r="G134" s="34">
        <f t="shared" si="2"/>
        <v>66885.989999999976</v>
      </c>
    </row>
    <row r="135" spans="2:7" ht="21" x14ac:dyDescent="0.4">
      <c r="B135" s="32">
        <v>28</v>
      </c>
      <c r="C135" s="33" t="s">
        <v>139</v>
      </c>
      <c r="D135" s="51" t="s">
        <v>207</v>
      </c>
      <c r="E135" s="34">
        <v>150</v>
      </c>
      <c r="F135" s="36"/>
      <c r="G135" s="34">
        <f t="shared" si="2"/>
        <v>67035.989999999976</v>
      </c>
    </row>
    <row r="136" spans="2:7" ht="21" x14ac:dyDescent="0.4">
      <c r="B136" s="32">
        <v>31</v>
      </c>
      <c r="C136" s="33" t="s">
        <v>139</v>
      </c>
      <c r="D136" s="51" t="s">
        <v>208</v>
      </c>
      <c r="E136" s="34">
        <v>150</v>
      </c>
      <c r="F136" s="36"/>
      <c r="G136" s="34">
        <f t="shared" si="2"/>
        <v>67185.989999999976</v>
      </c>
    </row>
    <row r="137" spans="2:7" ht="21" x14ac:dyDescent="0.4">
      <c r="B137" s="32">
        <v>31</v>
      </c>
      <c r="C137" s="33" t="s">
        <v>12</v>
      </c>
      <c r="D137" s="62" t="s">
        <v>250</v>
      </c>
      <c r="E137" s="34">
        <v>1000</v>
      </c>
      <c r="F137" s="36"/>
      <c r="G137" s="34">
        <f t="shared" si="2"/>
        <v>68185.989999999976</v>
      </c>
    </row>
    <row r="138" spans="2:7" ht="21" x14ac:dyDescent="0.4">
      <c r="B138" s="32">
        <v>31</v>
      </c>
      <c r="C138" s="49" t="s">
        <v>97</v>
      </c>
      <c r="D138" s="38" t="s">
        <v>113</v>
      </c>
      <c r="E138" s="34"/>
      <c r="F138" s="36">
        <v>2881.82</v>
      </c>
      <c r="G138" s="34">
        <f t="shared" si="2"/>
        <v>65304.169999999976</v>
      </c>
    </row>
    <row r="139" spans="2:7" ht="21" x14ac:dyDescent="0.4">
      <c r="B139" s="32">
        <v>31</v>
      </c>
      <c r="C139" s="33" t="s">
        <v>30</v>
      </c>
      <c r="D139" s="38" t="s">
        <v>114</v>
      </c>
      <c r="E139" s="34"/>
      <c r="F139" s="36">
        <v>230.55</v>
      </c>
      <c r="G139" s="34">
        <f t="shared" si="2"/>
        <v>65073.619999999974</v>
      </c>
    </row>
    <row r="140" spans="2:7" ht="21" x14ac:dyDescent="0.4">
      <c r="B140" s="32">
        <v>31</v>
      </c>
      <c r="C140" s="33" t="s">
        <v>121</v>
      </c>
      <c r="D140" s="38" t="s">
        <v>122</v>
      </c>
      <c r="E140" s="34"/>
      <c r="F140" s="36">
        <v>4000</v>
      </c>
      <c r="G140" s="34">
        <f t="shared" si="2"/>
        <v>61073.619999999974</v>
      </c>
    </row>
    <row r="141" spans="2:7" ht="21" x14ac:dyDescent="0.4">
      <c r="B141" s="32">
        <v>31</v>
      </c>
      <c r="C141" s="33" t="s">
        <v>194</v>
      </c>
      <c r="D141" s="38" t="s">
        <v>195</v>
      </c>
      <c r="E141" s="34"/>
      <c r="F141" s="36">
        <v>440</v>
      </c>
      <c r="G141" s="34">
        <f t="shared" si="2"/>
        <v>60633.619999999974</v>
      </c>
    </row>
    <row r="142" spans="2:7" ht="21" x14ac:dyDescent="0.4">
      <c r="B142" s="32">
        <v>31</v>
      </c>
      <c r="C142" s="33" t="s">
        <v>52</v>
      </c>
      <c r="D142" s="34" t="s">
        <v>334</v>
      </c>
      <c r="E142" s="34"/>
      <c r="F142" s="36">
        <v>240.15</v>
      </c>
      <c r="G142" s="34">
        <f t="shared" si="2"/>
        <v>60393.469999999972</v>
      </c>
    </row>
    <row r="143" spans="2:7" ht="21" x14ac:dyDescent="0.4">
      <c r="B143" s="32">
        <v>31</v>
      </c>
      <c r="C143" s="33" t="s">
        <v>167</v>
      </c>
      <c r="D143" s="34" t="s">
        <v>334</v>
      </c>
      <c r="E143" s="34"/>
      <c r="F143" s="36">
        <v>320.19</v>
      </c>
      <c r="G143" s="34">
        <f t="shared" si="2"/>
        <v>60073.27999999997</v>
      </c>
    </row>
    <row r="144" spans="2:7" ht="21" x14ac:dyDescent="0.4">
      <c r="B144" s="32">
        <v>31</v>
      </c>
      <c r="C144" s="33" t="s">
        <v>53</v>
      </c>
      <c r="D144" s="34" t="s">
        <v>334</v>
      </c>
      <c r="E144" s="34"/>
      <c r="F144" s="36">
        <v>44.82</v>
      </c>
      <c r="G144" s="34">
        <f t="shared" si="2"/>
        <v>60028.45999999997</v>
      </c>
    </row>
    <row r="145" spans="2:10" ht="21" x14ac:dyDescent="0.4">
      <c r="B145" s="32">
        <v>31</v>
      </c>
      <c r="C145" s="49" t="s">
        <v>174</v>
      </c>
      <c r="D145" s="51" t="s">
        <v>249</v>
      </c>
      <c r="E145" s="34"/>
      <c r="F145" s="36">
        <v>2200</v>
      </c>
      <c r="G145" s="34">
        <f t="shared" si="2"/>
        <v>57828.45999999997</v>
      </c>
    </row>
    <row r="146" spans="2:10" ht="14.4" x14ac:dyDescent="0.3">
      <c r="E146" s="46">
        <f>SUM(E103:E145)</f>
        <v>10330</v>
      </c>
      <c r="F146" s="26"/>
    </row>
    <row r="147" spans="2:10" ht="14.4" x14ac:dyDescent="0.3"/>
    <row r="148" spans="2:10" ht="25.8" x14ac:dyDescent="0.5">
      <c r="E148" s="44">
        <f>SUM(E102:E145)</f>
        <v>72169.679999999978</v>
      </c>
      <c r="F148" s="45">
        <f>SUM(F102:F145)</f>
        <v>14341.220000000001</v>
      </c>
      <c r="G148" s="44">
        <f>E148-F148</f>
        <v>57828.459999999977</v>
      </c>
      <c r="J148" s="43"/>
    </row>
    <row r="149" spans="2:10" ht="14.4" x14ac:dyDescent="0.3">
      <c r="J149" s="43"/>
    </row>
    <row r="150" spans="2:10" ht="14.4" x14ac:dyDescent="0.3">
      <c r="B150" s="144" t="s">
        <v>191</v>
      </c>
      <c r="C150" s="145"/>
      <c r="D150" s="145"/>
      <c r="E150" s="145"/>
      <c r="F150" s="145"/>
      <c r="G150" s="146"/>
      <c r="J150" s="43"/>
    </row>
    <row r="151" spans="2:10" ht="14.4" x14ac:dyDescent="0.3">
      <c r="B151" s="147"/>
      <c r="C151" s="148"/>
      <c r="D151" s="148"/>
      <c r="E151" s="148"/>
      <c r="F151" s="148"/>
      <c r="G151" s="149"/>
    </row>
    <row r="152" spans="2:10" ht="23.4" x14ac:dyDescent="0.45">
      <c r="B152" s="28" t="s">
        <v>94</v>
      </c>
      <c r="C152" s="28" t="s">
        <v>95</v>
      </c>
      <c r="D152" s="29" t="s">
        <v>101</v>
      </c>
      <c r="E152" s="29" t="s">
        <v>102</v>
      </c>
      <c r="F152" s="30" t="s">
        <v>103</v>
      </c>
      <c r="G152" s="31" t="s">
        <v>96</v>
      </c>
    </row>
    <row r="153" spans="2:10" ht="21" x14ac:dyDescent="0.4">
      <c r="B153" s="82" t="s">
        <v>350</v>
      </c>
      <c r="C153" s="33" t="s">
        <v>96</v>
      </c>
      <c r="E153" s="34">
        <f>G145</f>
        <v>57828.45999999997</v>
      </c>
      <c r="F153" s="34"/>
      <c r="G153" s="34">
        <f>E153</f>
        <v>57828.45999999997</v>
      </c>
    </row>
    <row r="154" spans="2:10" ht="21" x14ac:dyDescent="0.4">
      <c r="B154" s="119">
        <v>1</v>
      </c>
      <c r="C154" s="49" t="s">
        <v>115</v>
      </c>
      <c r="D154" s="50" t="s">
        <v>116</v>
      </c>
      <c r="E154" s="34"/>
      <c r="F154" s="36">
        <v>440</v>
      </c>
      <c r="G154" s="34">
        <f>G153+E154-F154</f>
        <v>57388.45999999997</v>
      </c>
    </row>
    <row r="155" spans="2:10" ht="21" x14ac:dyDescent="0.4">
      <c r="B155" s="32">
        <v>2</v>
      </c>
      <c r="C155" s="49" t="s">
        <v>256</v>
      </c>
      <c r="D155" s="52" t="s">
        <v>209</v>
      </c>
      <c r="E155" s="34">
        <v>450</v>
      </c>
      <c r="F155" s="36"/>
      <c r="G155" s="34">
        <f t="shared" ref="G155:G196" si="3">G154+E155-F155</f>
        <v>57838.45999999997</v>
      </c>
    </row>
    <row r="156" spans="2:10" ht="21" x14ac:dyDescent="0.4">
      <c r="B156" s="32">
        <v>2</v>
      </c>
      <c r="C156" s="33" t="s">
        <v>154</v>
      </c>
      <c r="D156" s="52" t="s">
        <v>268</v>
      </c>
      <c r="E156" s="34">
        <v>1100</v>
      </c>
      <c r="F156" s="36"/>
      <c r="G156" s="34">
        <f t="shared" si="3"/>
        <v>58938.45999999997</v>
      </c>
    </row>
    <row r="157" spans="2:10" ht="21" x14ac:dyDescent="0.4">
      <c r="B157" s="32">
        <v>7</v>
      </c>
      <c r="C157" s="33" t="s">
        <v>110</v>
      </c>
      <c r="D157" s="49" t="s">
        <v>176</v>
      </c>
      <c r="E157" s="34"/>
      <c r="F157" s="36">
        <v>132.97</v>
      </c>
      <c r="G157" s="34">
        <f t="shared" si="3"/>
        <v>58805.489999999969</v>
      </c>
    </row>
    <row r="158" spans="2:10" ht="21" x14ac:dyDescent="0.4">
      <c r="B158" s="32">
        <v>7</v>
      </c>
      <c r="C158" s="33" t="s">
        <v>58</v>
      </c>
      <c r="D158" s="38" t="s">
        <v>111</v>
      </c>
      <c r="E158" s="34"/>
      <c r="F158" s="36">
        <v>200</v>
      </c>
      <c r="G158" s="34">
        <f t="shared" si="3"/>
        <v>58605.489999999969</v>
      </c>
    </row>
    <row r="159" spans="2:10" ht="21" x14ac:dyDescent="0.4">
      <c r="B159" s="32">
        <v>8</v>
      </c>
      <c r="C159" s="49" t="s">
        <v>256</v>
      </c>
      <c r="D159" s="52" t="s">
        <v>210</v>
      </c>
      <c r="E159" s="34">
        <v>450</v>
      </c>
      <c r="F159" s="36"/>
      <c r="G159" s="34">
        <f t="shared" si="3"/>
        <v>59055.489999999969</v>
      </c>
    </row>
    <row r="160" spans="2:10" ht="21" x14ac:dyDescent="0.4">
      <c r="B160" s="32">
        <v>8</v>
      </c>
      <c r="C160" s="49" t="s">
        <v>256</v>
      </c>
      <c r="D160" s="52" t="s">
        <v>251</v>
      </c>
      <c r="E160" s="34">
        <v>300</v>
      </c>
      <c r="F160" s="36"/>
      <c r="G160" s="34">
        <f t="shared" si="3"/>
        <v>59355.489999999969</v>
      </c>
    </row>
    <row r="161" spans="2:7" ht="21" x14ac:dyDescent="0.4">
      <c r="B161" s="32">
        <v>8</v>
      </c>
      <c r="C161" s="33" t="s">
        <v>154</v>
      </c>
      <c r="D161" s="52" t="s">
        <v>252</v>
      </c>
      <c r="E161" s="34">
        <v>550</v>
      </c>
      <c r="F161" s="36"/>
      <c r="G161" s="34">
        <f t="shared" si="3"/>
        <v>59905.489999999969</v>
      </c>
    </row>
    <row r="162" spans="2:7" ht="21" x14ac:dyDescent="0.4">
      <c r="B162" s="56">
        <v>8</v>
      </c>
      <c r="C162" s="33" t="s">
        <v>10</v>
      </c>
      <c r="D162" s="61" t="s">
        <v>226</v>
      </c>
      <c r="E162" s="34">
        <v>250</v>
      </c>
      <c r="F162" s="36"/>
      <c r="G162" s="34">
        <f t="shared" si="3"/>
        <v>60155.489999999969</v>
      </c>
    </row>
    <row r="163" spans="2:7" ht="21" x14ac:dyDescent="0.4">
      <c r="B163" s="32">
        <v>9</v>
      </c>
      <c r="C163" s="49" t="s">
        <v>256</v>
      </c>
      <c r="D163" s="52" t="s">
        <v>211</v>
      </c>
      <c r="E163" s="34">
        <v>300</v>
      </c>
      <c r="F163" s="36"/>
      <c r="G163" s="34">
        <f t="shared" si="3"/>
        <v>60455.489999999969</v>
      </c>
    </row>
    <row r="164" spans="2:7" ht="21" x14ac:dyDescent="0.4">
      <c r="B164" s="56">
        <v>9</v>
      </c>
      <c r="C164" s="33" t="s">
        <v>10</v>
      </c>
      <c r="D164" s="59" t="s">
        <v>227</v>
      </c>
      <c r="E164" s="34">
        <v>500</v>
      </c>
      <c r="F164" s="36"/>
      <c r="G164" s="34">
        <f t="shared" si="3"/>
        <v>60955.489999999969</v>
      </c>
    </row>
    <row r="165" spans="2:7" ht="21" x14ac:dyDescent="0.4">
      <c r="B165" s="32">
        <v>9</v>
      </c>
      <c r="C165" s="33" t="s">
        <v>118</v>
      </c>
      <c r="D165" s="38" t="s">
        <v>287</v>
      </c>
      <c r="E165" s="34"/>
      <c r="F165" s="36">
        <v>553.20000000000005</v>
      </c>
      <c r="G165" s="34">
        <f t="shared" si="3"/>
        <v>60402.289999999972</v>
      </c>
    </row>
    <row r="166" spans="2:7" ht="21" x14ac:dyDescent="0.4">
      <c r="B166" s="32">
        <v>10</v>
      </c>
      <c r="C166" s="33" t="s">
        <v>68</v>
      </c>
      <c r="D166" s="38" t="s">
        <v>288</v>
      </c>
      <c r="E166" s="34"/>
      <c r="F166" s="36">
        <v>403.33</v>
      </c>
      <c r="G166" s="34">
        <f t="shared" si="3"/>
        <v>59998.95999999997</v>
      </c>
    </row>
    <row r="167" spans="2:7" ht="21" x14ac:dyDescent="0.4">
      <c r="B167" s="32">
        <v>10</v>
      </c>
      <c r="C167" s="33" t="s">
        <v>146</v>
      </c>
      <c r="D167" s="38" t="s">
        <v>147</v>
      </c>
      <c r="E167" s="34"/>
      <c r="F167" s="36">
        <v>139.97999999999999</v>
      </c>
      <c r="G167" s="34">
        <f t="shared" si="3"/>
        <v>59858.979999999967</v>
      </c>
    </row>
    <row r="168" spans="2:7" ht="21" x14ac:dyDescent="0.4">
      <c r="B168" s="32">
        <v>11</v>
      </c>
      <c r="C168" s="33" t="s">
        <v>12</v>
      </c>
      <c r="D168" s="70" t="s">
        <v>239</v>
      </c>
      <c r="E168" s="34">
        <v>1000</v>
      </c>
      <c r="F168" s="36"/>
      <c r="G168" s="34">
        <f t="shared" si="3"/>
        <v>60858.979999999967</v>
      </c>
    </row>
    <row r="169" spans="2:7" ht="21" x14ac:dyDescent="0.4">
      <c r="B169" s="32">
        <v>11</v>
      </c>
      <c r="C169" s="49" t="s">
        <v>256</v>
      </c>
      <c r="D169" s="52" t="s">
        <v>212</v>
      </c>
      <c r="E169" s="34">
        <v>150</v>
      </c>
      <c r="F169" s="36"/>
      <c r="G169" s="34">
        <f t="shared" si="3"/>
        <v>61008.979999999967</v>
      </c>
    </row>
    <row r="170" spans="2:7" ht="21" x14ac:dyDescent="0.4">
      <c r="B170" s="56">
        <v>14</v>
      </c>
      <c r="C170" s="49" t="s">
        <v>11</v>
      </c>
      <c r="D170" s="69" t="s">
        <v>272</v>
      </c>
      <c r="E170" s="34">
        <v>800</v>
      </c>
      <c r="F170" s="36"/>
      <c r="G170" s="34">
        <f t="shared" si="3"/>
        <v>61808.979999999967</v>
      </c>
    </row>
    <row r="171" spans="2:7" ht="21" x14ac:dyDescent="0.4">
      <c r="B171" s="56">
        <v>14</v>
      </c>
      <c r="C171" s="33" t="s">
        <v>12</v>
      </c>
      <c r="D171" s="68" t="s">
        <v>273</v>
      </c>
      <c r="E171" s="34">
        <v>1000</v>
      </c>
      <c r="F171" s="36"/>
      <c r="G171" s="34">
        <f t="shared" si="3"/>
        <v>62808.979999999967</v>
      </c>
    </row>
    <row r="172" spans="2:7" ht="21" x14ac:dyDescent="0.4">
      <c r="B172" s="32">
        <v>15</v>
      </c>
      <c r="C172" s="35" t="s">
        <v>40</v>
      </c>
      <c r="D172" s="42" t="s">
        <v>148</v>
      </c>
      <c r="E172" s="34"/>
      <c r="F172" s="36">
        <v>295</v>
      </c>
      <c r="G172" s="34">
        <f t="shared" si="3"/>
        <v>62513.979999999967</v>
      </c>
    </row>
    <row r="173" spans="2:7" ht="21" x14ac:dyDescent="0.4">
      <c r="B173" s="32">
        <v>15</v>
      </c>
      <c r="C173" s="35" t="s">
        <v>125</v>
      </c>
      <c r="D173" s="38" t="s">
        <v>126</v>
      </c>
      <c r="E173" s="34"/>
      <c r="F173" s="36">
        <v>187.88</v>
      </c>
      <c r="G173" s="34">
        <f t="shared" si="3"/>
        <v>62326.099999999969</v>
      </c>
    </row>
    <row r="174" spans="2:7" ht="21" x14ac:dyDescent="0.4">
      <c r="B174" s="56">
        <v>16</v>
      </c>
      <c r="C174" s="33" t="s">
        <v>10</v>
      </c>
      <c r="D174" s="58" t="s">
        <v>150</v>
      </c>
      <c r="E174" s="34">
        <v>250</v>
      </c>
      <c r="F174" s="36"/>
      <c r="G174" s="34">
        <f t="shared" si="3"/>
        <v>62576.099999999969</v>
      </c>
    </row>
    <row r="175" spans="2:7" ht="21" x14ac:dyDescent="0.4">
      <c r="B175" s="32">
        <v>17</v>
      </c>
      <c r="C175" s="33" t="s">
        <v>88</v>
      </c>
      <c r="D175" s="51" t="s">
        <v>213</v>
      </c>
      <c r="E175" s="34">
        <v>750</v>
      </c>
      <c r="F175" s="36"/>
      <c r="G175" s="34">
        <f t="shared" si="3"/>
        <v>63326.099999999969</v>
      </c>
    </row>
    <row r="176" spans="2:7" ht="21" x14ac:dyDescent="0.4">
      <c r="B176" s="118">
        <v>17</v>
      </c>
      <c r="C176" s="33" t="s">
        <v>343</v>
      </c>
      <c r="D176" s="51" t="s">
        <v>200</v>
      </c>
      <c r="E176" s="34"/>
      <c r="F176" s="36">
        <v>226.09</v>
      </c>
      <c r="G176" s="34">
        <f t="shared" si="3"/>
        <v>63100.009999999973</v>
      </c>
    </row>
    <row r="177" spans="2:7" ht="21" x14ac:dyDescent="0.4">
      <c r="B177" s="118">
        <v>17</v>
      </c>
      <c r="C177" s="33" t="s">
        <v>127</v>
      </c>
      <c r="D177" s="51" t="s">
        <v>200</v>
      </c>
      <c r="E177" s="34"/>
      <c r="F177" s="36">
        <v>204.09</v>
      </c>
      <c r="G177" s="34">
        <f t="shared" si="3"/>
        <v>62895.919999999976</v>
      </c>
    </row>
    <row r="178" spans="2:7" ht="21" x14ac:dyDescent="0.4">
      <c r="B178" s="32">
        <v>17</v>
      </c>
      <c r="C178" s="33" t="s">
        <v>129</v>
      </c>
      <c r="D178" s="34" t="s">
        <v>130</v>
      </c>
      <c r="E178" s="34"/>
      <c r="F178" s="36">
        <v>148.19</v>
      </c>
      <c r="G178" s="34">
        <f t="shared" si="3"/>
        <v>62747.729999999974</v>
      </c>
    </row>
    <row r="179" spans="2:7" ht="21" x14ac:dyDescent="0.4">
      <c r="B179" s="32">
        <v>22</v>
      </c>
      <c r="C179" s="33" t="s">
        <v>45</v>
      </c>
      <c r="D179" s="34" t="s">
        <v>152</v>
      </c>
      <c r="E179" s="34"/>
      <c r="F179" s="36">
        <v>600</v>
      </c>
      <c r="G179" s="34">
        <f t="shared" si="3"/>
        <v>62147.729999999974</v>
      </c>
    </row>
    <row r="180" spans="2:7" ht="21" x14ac:dyDescent="0.4">
      <c r="B180" s="32">
        <v>22</v>
      </c>
      <c r="C180" s="33" t="s">
        <v>131</v>
      </c>
      <c r="D180" s="51" t="s">
        <v>214</v>
      </c>
      <c r="E180" s="34">
        <v>380</v>
      </c>
      <c r="F180" s="36"/>
      <c r="G180" s="34">
        <f t="shared" si="3"/>
        <v>62527.729999999974</v>
      </c>
    </row>
    <row r="181" spans="2:7" ht="21" x14ac:dyDescent="0.4">
      <c r="B181" s="32">
        <v>22</v>
      </c>
      <c r="C181" s="33" t="s">
        <v>154</v>
      </c>
      <c r="D181" s="51" t="s">
        <v>215</v>
      </c>
      <c r="E181" s="34">
        <v>550</v>
      </c>
      <c r="F181" s="36"/>
      <c r="G181" s="34">
        <f t="shared" si="3"/>
        <v>63077.729999999974</v>
      </c>
    </row>
    <row r="182" spans="2:7" ht="21" x14ac:dyDescent="0.4">
      <c r="B182" s="56">
        <v>22</v>
      </c>
      <c r="C182" s="49" t="s">
        <v>11</v>
      </c>
      <c r="D182" s="55" t="s">
        <v>230</v>
      </c>
      <c r="E182" s="34">
        <v>800</v>
      </c>
      <c r="F182" s="36"/>
      <c r="G182" s="34">
        <f t="shared" si="3"/>
        <v>63877.729999999974</v>
      </c>
    </row>
    <row r="183" spans="2:7" ht="21" x14ac:dyDescent="0.4">
      <c r="B183" s="56">
        <v>23</v>
      </c>
      <c r="C183" s="33" t="s">
        <v>10</v>
      </c>
      <c r="D183" s="57" t="s">
        <v>136</v>
      </c>
      <c r="E183" s="34">
        <v>250</v>
      </c>
      <c r="F183" s="36"/>
      <c r="G183" s="34">
        <f t="shared" si="3"/>
        <v>64127.729999999974</v>
      </c>
    </row>
    <row r="184" spans="2:7" ht="21" x14ac:dyDescent="0.4">
      <c r="B184" s="32">
        <v>24</v>
      </c>
      <c r="C184" s="49" t="s">
        <v>149</v>
      </c>
      <c r="D184" s="51" t="s">
        <v>216</v>
      </c>
      <c r="E184" s="34">
        <v>300</v>
      </c>
      <c r="F184" s="36"/>
      <c r="G184" s="34">
        <f t="shared" si="3"/>
        <v>64427.729999999974</v>
      </c>
    </row>
    <row r="185" spans="2:7" ht="21" x14ac:dyDescent="0.4">
      <c r="B185" s="32">
        <v>25</v>
      </c>
      <c r="C185" s="49" t="s">
        <v>149</v>
      </c>
      <c r="D185" s="51" t="s">
        <v>217</v>
      </c>
      <c r="E185" s="34">
        <v>150</v>
      </c>
      <c r="F185" s="36"/>
      <c r="G185" s="34">
        <f t="shared" si="3"/>
        <v>64577.729999999974</v>
      </c>
    </row>
    <row r="186" spans="2:7" ht="21" x14ac:dyDescent="0.4">
      <c r="B186" s="32">
        <v>25</v>
      </c>
      <c r="C186" s="33" t="s">
        <v>137</v>
      </c>
      <c r="D186" s="34" t="s">
        <v>138</v>
      </c>
      <c r="E186" s="34"/>
      <c r="F186" s="36">
        <v>290</v>
      </c>
      <c r="G186" s="34">
        <f t="shared" si="3"/>
        <v>64287.729999999974</v>
      </c>
    </row>
    <row r="187" spans="2:7" ht="21" x14ac:dyDescent="0.4">
      <c r="B187" s="32">
        <v>28</v>
      </c>
      <c r="C187" s="33" t="s">
        <v>139</v>
      </c>
      <c r="D187" s="51" t="s">
        <v>267</v>
      </c>
      <c r="E187" s="34">
        <v>300</v>
      </c>
      <c r="F187" s="36"/>
      <c r="G187" s="34">
        <f t="shared" si="3"/>
        <v>64587.729999999974</v>
      </c>
    </row>
    <row r="188" spans="2:7" ht="21" x14ac:dyDescent="0.4">
      <c r="B188" s="32">
        <v>29</v>
      </c>
      <c r="C188" s="33" t="s">
        <v>139</v>
      </c>
      <c r="D188" s="51" t="s">
        <v>218</v>
      </c>
      <c r="E188" s="34">
        <v>300</v>
      </c>
      <c r="F188" s="36"/>
      <c r="G188" s="34">
        <f t="shared" si="3"/>
        <v>64887.729999999974</v>
      </c>
    </row>
    <row r="189" spans="2:7" ht="21" x14ac:dyDescent="0.4">
      <c r="B189" s="56">
        <v>30</v>
      </c>
      <c r="C189" s="33" t="s">
        <v>12</v>
      </c>
      <c r="D189" s="62" t="s">
        <v>250</v>
      </c>
      <c r="E189" s="34">
        <v>1000</v>
      </c>
      <c r="F189" s="36"/>
      <c r="G189" s="34">
        <f t="shared" si="3"/>
        <v>65887.729999999981</v>
      </c>
    </row>
    <row r="190" spans="2:7" ht="21" x14ac:dyDescent="0.4">
      <c r="B190" s="32">
        <v>30</v>
      </c>
      <c r="C190" s="49" t="s">
        <v>97</v>
      </c>
      <c r="D190" s="38" t="s">
        <v>113</v>
      </c>
      <c r="E190" s="34"/>
      <c r="F190" s="36">
        <v>2881.82</v>
      </c>
      <c r="G190" s="34">
        <f t="shared" si="3"/>
        <v>63005.909999999982</v>
      </c>
    </row>
    <row r="191" spans="2:7" ht="21" x14ac:dyDescent="0.4">
      <c r="B191" s="32">
        <v>30</v>
      </c>
      <c r="C191" s="33" t="s">
        <v>30</v>
      </c>
      <c r="D191" s="38" t="s">
        <v>114</v>
      </c>
      <c r="E191" s="34"/>
      <c r="F191" s="36">
        <v>230.55</v>
      </c>
      <c r="G191" s="34">
        <f t="shared" si="3"/>
        <v>62775.359999999979</v>
      </c>
    </row>
    <row r="192" spans="2:7" ht="21" x14ac:dyDescent="0.4">
      <c r="B192" s="32">
        <v>30</v>
      </c>
      <c r="C192" s="33" t="s">
        <v>121</v>
      </c>
      <c r="D192" s="38" t="s">
        <v>122</v>
      </c>
      <c r="E192" s="34"/>
      <c r="F192" s="36">
        <v>4000</v>
      </c>
      <c r="G192" s="34">
        <f t="shared" si="3"/>
        <v>58775.359999999979</v>
      </c>
    </row>
    <row r="193" spans="2:7" ht="21" x14ac:dyDescent="0.4">
      <c r="B193" s="32">
        <v>30</v>
      </c>
      <c r="C193" s="33" t="s">
        <v>194</v>
      </c>
      <c r="D193" s="38" t="s">
        <v>195</v>
      </c>
      <c r="E193" s="34"/>
      <c r="F193" s="36">
        <v>440</v>
      </c>
      <c r="G193" s="34">
        <f t="shared" si="3"/>
        <v>58335.359999999979</v>
      </c>
    </row>
    <row r="194" spans="2:7" ht="21" x14ac:dyDescent="0.4">
      <c r="B194" s="32">
        <v>30</v>
      </c>
      <c r="C194" s="33" t="s">
        <v>52</v>
      </c>
      <c r="D194" s="34" t="s">
        <v>345</v>
      </c>
      <c r="E194" s="34"/>
      <c r="F194" s="36">
        <v>240.15</v>
      </c>
      <c r="G194" s="34">
        <f t="shared" si="3"/>
        <v>58095.209999999977</v>
      </c>
    </row>
    <row r="195" spans="2:7" ht="21" x14ac:dyDescent="0.4">
      <c r="B195" s="32">
        <v>30</v>
      </c>
      <c r="C195" s="33" t="s">
        <v>167</v>
      </c>
      <c r="D195" s="34" t="s">
        <v>345</v>
      </c>
      <c r="E195" s="34"/>
      <c r="F195" s="36">
        <v>320.19</v>
      </c>
      <c r="G195" s="34">
        <f t="shared" si="3"/>
        <v>57775.019999999975</v>
      </c>
    </row>
    <row r="196" spans="2:7" ht="21" x14ac:dyDescent="0.4">
      <c r="B196" s="32">
        <v>30</v>
      </c>
      <c r="C196" s="33" t="s">
        <v>53</v>
      </c>
      <c r="D196" s="34" t="s">
        <v>345</v>
      </c>
      <c r="E196" s="34"/>
      <c r="F196" s="36">
        <v>44.82</v>
      </c>
      <c r="G196" s="34">
        <f t="shared" si="3"/>
        <v>57730.199999999975</v>
      </c>
    </row>
    <row r="197" spans="2:7" ht="14.4" x14ac:dyDescent="0.3">
      <c r="E197" s="46">
        <f>SUM(E155:E196)</f>
        <v>11880</v>
      </c>
      <c r="F197" s="26"/>
    </row>
    <row r="198" spans="2:7" ht="14.4" x14ac:dyDescent="0.3"/>
    <row r="199" spans="2:7" ht="25.8" x14ac:dyDescent="0.5">
      <c r="E199" s="44">
        <f>SUM(E153:E196)</f>
        <v>69708.459999999963</v>
      </c>
      <c r="F199" s="45">
        <f>SUM(F153:F196)</f>
        <v>11978.260000000002</v>
      </c>
      <c r="G199" s="44">
        <f>E199-F199</f>
        <v>57730.199999999961</v>
      </c>
    </row>
    <row r="200" spans="2:7" ht="14.4" x14ac:dyDescent="0.3"/>
    <row r="201" spans="2:7" ht="14.4" x14ac:dyDescent="0.3">
      <c r="B201" s="144" t="s">
        <v>192</v>
      </c>
      <c r="C201" s="145"/>
      <c r="D201" s="145"/>
      <c r="E201" s="145"/>
      <c r="F201" s="145"/>
      <c r="G201" s="146"/>
    </row>
    <row r="202" spans="2:7" ht="14.4" x14ac:dyDescent="0.3">
      <c r="B202" s="147"/>
      <c r="C202" s="148"/>
      <c r="D202" s="148"/>
      <c r="E202" s="148"/>
      <c r="F202" s="148"/>
      <c r="G202" s="149"/>
    </row>
    <row r="203" spans="2:7" ht="23.4" x14ac:dyDescent="0.45">
      <c r="B203" s="28" t="s">
        <v>94</v>
      </c>
      <c r="C203" s="28" t="s">
        <v>95</v>
      </c>
      <c r="D203" s="29" t="s">
        <v>101</v>
      </c>
      <c r="E203" s="29" t="s">
        <v>102</v>
      </c>
      <c r="F203" s="30" t="s">
        <v>103</v>
      </c>
      <c r="G203" s="31" t="s">
        <v>96</v>
      </c>
    </row>
    <row r="204" spans="2:7" ht="21" x14ac:dyDescent="0.4">
      <c r="B204" s="120" t="s">
        <v>352</v>
      </c>
      <c r="C204" s="33" t="s">
        <v>96</v>
      </c>
      <c r="E204" s="34">
        <f>G196</f>
        <v>57730.199999999975</v>
      </c>
      <c r="F204" s="34"/>
      <c r="G204" s="34">
        <f>E204</f>
        <v>57730.199999999975</v>
      </c>
    </row>
    <row r="205" spans="2:7" ht="21" x14ac:dyDescent="0.4">
      <c r="B205" s="118">
        <v>5</v>
      </c>
      <c r="C205" s="49" t="s">
        <v>115</v>
      </c>
      <c r="D205" s="50" t="s">
        <v>116</v>
      </c>
      <c r="E205" s="34"/>
      <c r="F205" s="36">
        <v>440</v>
      </c>
      <c r="G205" s="34">
        <f>G204+E205-F205</f>
        <v>57290.199999999975</v>
      </c>
    </row>
    <row r="206" spans="2:7" ht="21" x14ac:dyDescent="0.4">
      <c r="B206" s="32">
        <v>6</v>
      </c>
      <c r="C206" s="33" t="s">
        <v>154</v>
      </c>
      <c r="D206" s="35" t="s">
        <v>261</v>
      </c>
      <c r="E206" s="34">
        <v>1100</v>
      </c>
      <c r="F206" s="34"/>
      <c r="G206" s="34">
        <f t="shared" ref="G206:G251" si="4">G205+E206-F206</f>
        <v>58390.199999999975</v>
      </c>
    </row>
    <row r="207" spans="2:7" ht="21" x14ac:dyDescent="0.4">
      <c r="B207" s="56">
        <v>6</v>
      </c>
      <c r="C207" s="33" t="s">
        <v>10</v>
      </c>
      <c r="D207" s="59" t="s">
        <v>219</v>
      </c>
      <c r="E207" s="34">
        <v>250</v>
      </c>
      <c r="F207" s="36"/>
      <c r="G207" s="34">
        <f t="shared" si="4"/>
        <v>58640.199999999975</v>
      </c>
    </row>
    <row r="208" spans="2:7" ht="21" x14ac:dyDescent="0.4">
      <c r="B208" s="32">
        <v>7</v>
      </c>
      <c r="C208" s="33" t="s">
        <v>110</v>
      </c>
      <c r="D208" s="33" t="s">
        <v>177</v>
      </c>
      <c r="E208" s="34"/>
      <c r="F208" s="36">
        <v>128.97</v>
      </c>
      <c r="G208" s="34">
        <f t="shared" si="4"/>
        <v>58511.229999999974</v>
      </c>
    </row>
    <row r="209" spans="2:7" ht="21" x14ac:dyDescent="0.4">
      <c r="B209" s="32">
        <v>7</v>
      </c>
      <c r="C209" s="33" t="s">
        <v>58</v>
      </c>
      <c r="D209" s="38" t="s">
        <v>111</v>
      </c>
      <c r="E209" s="34"/>
      <c r="F209" s="36">
        <v>200</v>
      </c>
      <c r="G209" s="34">
        <f t="shared" si="4"/>
        <v>58311.229999999974</v>
      </c>
    </row>
    <row r="210" spans="2:7" ht="21" x14ac:dyDescent="0.4">
      <c r="B210" s="32">
        <v>7</v>
      </c>
      <c r="C210" s="49" t="s">
        <v>256</v>
      </c>
      <c r="D210" s="50" t="s">
        <v>263</v>
      </c>
      <c r="E210" s="34">
        <v>300</v>
      </c>
      <c r="F210" s="36"/>
      <c r="G210" s="34">
        <f t="shared" si="4"/>
        <v>58611.229999999974</v>
      </c>
    </row>
    <row r="211" spans="2:7" ht="21" x14ac:dyDescent="0.4">
      <c r="B211" s="32">
        <v>8</v>
      </c>
      <c r="C211" s="33" t="s">
        <v>154</v>
      </c>
      <c r="D211" s="50" t="s">
        <v>231</v>
      </c>
      <c r="E211" s="34">
        <v>550</v>
      </c>
      <c r="F211" s="36"/>
      <c r="G211" s="34">
        <f t="shared" si="4"/>
        <v>59161.229999999974</v>
      </c>
    </row>
    <row r="212" spans="2:7" ht="21" x14ac:dyDescent="0.4">
      <c r="B212" s="56">
        <v>8</v>
      </c>
      <c r="C212" s="33" t="s">
        <v>10</v>
      </c>
      <c r="D212" s="61" t="s">
        <v>226</v>
      </c>
      <c r="E212" s="34">
        <v>250</v>
      </c>
      <c r="F212" s="36"/>
      <c r="G212" s="34">
        <f t="shared" si="4"/>
        <v>59411.229999999974</v>
      </c>
    </row>
    <row r="213" spans="2:7" ht="21" x14ac:dyDescent="0.4">
      <c r="B213" s="56">
        <v>9</v>
      </c>
      <c r="C213" s="33" t="s">
        <v>10</v>
      </c>
      <c r="D213" s="61" t="s">
        <v>227</v>
      </c>
      <c r="E213" s="34">
        <v>500</v>
      </c>
      <c r="F213" s="36"/>
      <c r="G213" s="34">
        <f t="shared" si="4"/>
        <v>59911.229999999974</v>
      </c>
    </row>
    <row r="214" spans="2:7" ht="21" x14ac:dyDescent="0.4">
      <c r="B214" s="32">
        <v>9</v>
      </c>
      <c r="C214" s="33" t="s">
        <v>139</v>
      </c>
      <c r="D214" s="52" t="s">
        <v>232</v>
      </c>
      <c r="E214" s="34">
        <v>150</v>
      </c>
      <c r="F214" s="36"/>
      <c r="G214" s="34">
        <f t="shared" si="4"/>
        <v>60061.229999999974</v>
      </c>
    </row>
    <row r="215" spans="2:7" ht="21" x14ac:dyDescent="0.4">
      <c r="B215" s="32">
        <v>9</v>
      </c>
      <c r="C215" s="33" t="s">
        <v>118</v>
      </c>
      <c r="D215" s="38" t="s">
        <v>289</v>
      </c>
      <c r="E215" s="34"/>
      <c r="F215" s="36">
        <v>553.20000000000005</v>
      </c>
      <c r="G215" s="34">
        <f t="shared" si="4"/>
        <v>59508.029999999977</v>
      </c>
    </row>
    <row r="216" spans="2:7" ht="21" x14ac:dyDescent="0.4">
      <c r="B216" s="32">
        <v>9</v>
      </c>
      <c r="C216" s="49" t="s">
        <v>57</v>
      </c>
      <c r="D216" s="50" t="s">
        <v>199</v>
      </c>
      <c r="E216" s="34"/>
      <c r="F216" s="36">
        <v>216.24</v>
      </c>
      <c r="G216" s="34">
        <f t="shared" si="4"/>
        <v>59291.789999999979</v>
      </c>
    </row>
    <row r="217" spans="2:7" ht="21" x14ac:dyDescent="0.4">
      <c r="B217" s="32">
        <v>12</v>
      </c>
      <c r="C217" s="33" t="s">
        <v>68</v>
      </c>
      <c r="D217" s="38" t="s">
        <v>290</v>
      </c>
      <c r="E217" s="34"/>
      <c r="F217" s="36">
        <v>403.33</v>
      </c>
      <c r="G217" s="34">
        <f t="shared" si="4"/>
        <v>58888.459999999977</v>
      </c>
    </row>
    <row r="218" spans="2:7" ht="21" x14ac:dyDescent="0.4">
      <c r="B218" s="32">
        <v>12</v>
      </c>
      <c r="C218" s="33" t="s">
        <v>146</v>
      </c>
      <c r="D218" s="38" t="s">
        <v>147</v>
      </c>
      <c r="E218" s="34"/>
      <c r="F218" s="36">
        <v>139.97999999999999</v>
      </c>
      <c r="G218" s="34">
        <f t="shared" si="4"/>
        <v>58748.479999999974</v>
      </c>
    </row>
    <row r="219" spans="2:7" ht="21" x14ac:dyDescent="0.4">
      <c r="B219" s="56">
        <v>13</v>
      </c>
      <c r="C219" s="33" t="s">
        <v>12</v>
      </c>
      <c r="D219" s="70" t="s">
        <v>239</v>
      </c>
      <c r="E219" s="34">
        <v>1000</v>
      </c>
      <c r="F219" s="36"/>
      <c r="G219" s="34">
        <f t="shared" si="4"/>
        <v>59748.479999999974</v>
      </c>
    </row>
    <row r="220" spans="2:7" ht="21" x14ac:dyDescent="0.4">
      <c r="B220" s="32">
        <v>13</v>
      </c>
      <c r="C220" s="49" t="s">
        <v>256</v>
      </c>
      <c r="D220" s="52" t="s">
        <v>248</v>
      </c>
      <c r="E220" s="34">
        <v>150</v>
      </c>
      <c r="F220" s="36"/>
      <c r="G220" s="34">
        <f t="shared" si="4"/>
        <v>59898.479999999974</v>
      </c>
    </row>
    <row r="221" spans="2:7" ht="21" x14ac:dyDescent="0.4">
      <c r="B221" s="56">
        <v>14</v>
      </c>
      <c r="C221" s="49" t="s">
        <v>11</v>
      </c>
      <c r="D221" s="69" t="s">
        <v>272</v>
      </c>
      <c r="E221" s="34">
        <v>800</v>
      </c>
      <c r="F221" s="36"/>
      <c r="G221" s="34">
        <f t="shared" si="4"/>
        <v>60698.479999999974</v>
      </c>
    </row>
    <row r="222" spans="2:7" ht="21" x14ac:dyDescent="0.4">
      <c r="B222" s="56">
        <v>14</v>
      </c>
      <c r="C222" s="33" t="s">
        <v>12</v>
      </c>
      <c r="D222" s="67" t="s">
        <v>273</v>
      </c>
      <c r="E222" s="34">
        <v>1000</v>
      </c>
      <c r="F222" s="36"/>
      <c r="G222" s="34">
        <f t="shared" si="4"/>
        <v>61698.479999999974</v>
      </c>
    </row>
    <row r="223" spans="2:7" ht="21" x14ac:dyDescent="0.4">
      <c r="B223" s="32">
        <v>15</v>
      </c>
      <c r="C223" s="35" t="s">
        <v>40</v>
      </c>
      <c r="D223" s="42" t="s">
        <v>148</v>
      </c>
      <c r="E223" s="34"/>
      <c r="F223" s="36">
        <v>295</v>
      </c>
      <c r="G223" s="34">
        <f t="shared" si="4"/>
        <v>61403.479999999974</v>
      </c>
    </row>
    <row r="224" spans="2:7" ht="21" x14ac:dyDescent="0.4">
      <c r="B224" s="32">
        <v>15</v>
      </c>
      <c r="C224" s="33" t="s">
        <v>154</v>
      </c>
      <c r="D224" s="66" t="s">
        <v>264</v>
      </c>
      <c r="E224" s="34">
        <v>1100</v>
      </c>
      <c r="F224" s="36"/>
      <c r="G224" s="34">
        <f t="shared" si="4"/>
        <v>62503.479999999974</v>
      </c>
    </row>
    <row r="225" spans="2:7" ht="21" x14ac:dyDescent="0.4">
      <c r="B225" s="32">
        <v>15</v>
      </c>
      <c r="C225" s="35" t="s">
        <v>125</v>
      </c>
      <c r="D225" s="38" t="s">
        <v>126</v>
      </c>
      <c r="E225" s="34"/>
      <c r="F225" s="36">
        <v>188.21</v>
      </c>
      <c r="G225" s="34">
        <f t="shared" si="4"/>
        <v>62315.269999999975</v>
      </c>
    </row>
    <row r="226" spans="2:7" ht="21" x14ac:dyDescent="0.4">
      <c r="B226" s="56">
        <v>16</v>
      </c>
      <c r="C226" s="33" t="s">
        <v>10</v>
      </c>
      <c r="D226" s="58" t="s">
        <v>150</v>
      </c>
      <c r="E226" s="34">
        <v>250</v>
      </c>
      <c r="F226" s="36"/>
      <c r="G226" s="34">
        <f t="shared" si="4"/>
        <v>62565.269999999975</v>
      </c>
    </row>
    <row r="227" spans="2:7" ht="21" x14ac:dyDescent="0.4">
      <c r="B227" s="32">
        <v>19</v>
      </c>
      <c r="C227" s="33" t="s">
        <v>88</v>
      </c>
      <c r="D227" s="34" t="s">
        <v>151</v>
      </c>
      <c r="E227" s="34">
        <v>600</v>
      </c>
      <c r="F227" s="36"/>
      <c r="G227" s="34">
        <f t="shared" si="4"/>
        <v>63165.269999999975</v>
      </c>
    </row>
    <row r="228" spans="2:7" ht="21" x14ac:dyDescent="0.4">
      <c r="B228" s="118">
        <v>20</v>
      </c>
      <c r="C228" s="33" t="s">
        <v>343</v>
      </c>
      <c r="D228" s="51" t="s">
        <v>200</v>
      </c>
      <c r="E228" s="34"/>
      <c r="F228" s="36">
        <v>226.09</v>
      </c>
      <c r="G228" s="34">
        <f t="shared" si="4"/>
        <v>62939.179999999978</v>
      </c>
    </row>
    <row r="229" spans="2:7" ht="21" x14ac:dyDescent="0.4">
      <c r="B229" s="118">
        <v>20</v>
      </c>
      <c r="C229" s="33" t="s">
        <v>127</v>
      </c>
      <c r="D229" s="34" t="s">
        <v>128</v>
      </c>
      <c r="E229" s="34"/>
      <c r="F229" s="36">
        <v>191.09</v>
      </c>
      <c r="G229" s="34">
        <f t="shared" si="4"/>
        <v>62748.089999999982</v>
      </c>
    </row>
    <row r="230" spans="2:7" ht="21" x14ac:dyDescent="0.4">
      <c r="B230" s="32">
        <v>20</v>
      </c>
      <c r="C230" s="33" t="s">
        <v>129</v>
      </c>
      <c r="D230" s="34" t="s">
        <v>130</v>
      </c>
      <c r="E230" s="34"/>
      <c r="F230" s="36">
        <v>146.41</v>
      </c>
      <c r="G230" s="34">
        <f t="shared" si="4"/>
        <v>62601.679999999978</v>
      </c>
    </row>
    <row r="231" spans="2:7" ht="21" x14ac:dyDescent="0.4">
      <c r="B231" s="32">
        <v>20</v>
      </c>
      <c r="C231" s="33" t="s">
        <v>45</v>
      </c>
      <c r="D231" s="34" t="s">
        <v>152</v>
      </c>
      <c r="E231" s="34"/>
      <c r="F231" s="36">
        <v>600</v>
      </c>
      <c r="G231" s="34">
        <f t="shared" si="4"/>
        <v>62001.679999999978</v>
      </c>
    </row>
    <row r="232" spans="2:7" ht="21" x14ac:dyDescent="0.4">
      <c r="B232" s="32">
        <v>21</v>
      </c>
      <c r="C232" s="33" t="s">
        <v>131</v>
      </c>
      <c r="D232" s="51" t="s">
        <v>246</v>
      </c>
      <c r="E232" s="34">
        <v>380</v>
      </c>
      <c r="F232" s="36"/>
      <c r="G232" s="34">
        <f t="shared" si="4"/>
        <v>62381.679999999978</v>
      </c>
    </row>
    <row r="233" spans="2:7" ht="21" x14ac:dyDescent="0.4">
      <c r="B233" s="56">
        <v>22</v>
      </c>
      <c r="C233" s="49" t="s">
        <v>11</v>
      </c>
      <c r="D233" s="55" t="s">
        <v>230</v>
      </c>
      <c r="E233" s="34">
        <v>800</v>
      </c>
      <c r="F233" s="36"/>
      <c r="G233" s="34">
        <f t="shared" si="4"/>
        <v>63181.679999999978</v>
      </c>
    </row>
    <row r="234" spans="2:7" ht="21" x14ac:dyDescent="0.4">
      <c r="B234" s="32">
        <v>22</v>
      </c>
      <c r="C234" s="33" t="s">
        <v>154</v>
      </c>
      <c r="D234" s="51" t="s">
        <v>247</v>
      </c>
      <c r="E234" s="34">
        <v>550</v>
      </c>
      <c r="F234" s="36"/>
      <c r="G234" s="34">
        <f t="shared" si="4"/>
        <v>63731.679999999978</v>
      </c>
    </row>
    <row r="235" spans="2:7" ht="21" x14ac:dyDescent="0.4">
      <c r="B235" s="32">
        <v>22</v>
      </c>
      <c r="C235" s="49" t="s">
        <v>256</v>
      </c>
      <c r="D235" s="51" t="s">
        <v>265</v>
      </c>
      <c r="E235" s="34">
        <v>300</v>
      </c>
      <c r="F235" s="36"/>
      <c r="G235" s="34">
        <f t="shared" si="4"/>
        <v>64031.679999999978</v>
      </c>
    </row>
    <row r="236" spans="2:7" ht="21" x14ac:dyDescent="0.4">
      <c r="B236" s="56">
        <v>23</v>
      </c>
      <c r="C236" s="33" t="s">
        <v>10</v>
      </c>
      <c r="D236" s="57" t="s">
        <v>136</v>
      </c>
      <c r="E236" s="34">
        <v>250</v>
      </c>
      <c r="F236" s="36"/>
      <c r="G236" s="34">
        <f t="shared" si="4"/>
        <v>64281.679999999978</v>
      </c>
    </row>
    <row r="237" spans="2:7" ht="21" x14ac:dyDescent="0.4">
      <c r="B237" s="32">
        <v>23</v>
      </c>
      <c r="C237" s="33" t="s">
        <v>88</v>
      </c>
      <c r="D237" s="34" t="s">
        <v>156</v>
      </c>
      <c r="E237" s="34">
        <v>450</v>
      </c>
      <c r="F237" s="36"/>
      <c r="G237" s="34">
        <f t="shared" si="4"/>
        <v>64731.679999999978</v>
      </c>
    </row>
    <row r="238" spans="2:7" ht="21" x14ac:dyDescent="0.4">
      <c r="B238" s="32">
        <v>26</v>
      </c>
      <c r="C238" s="33" t="s">
        <v>88</v>
      </c>
      <c r="D238" s="34" t="s">
        <v>157</v>
      </c>
      <c r="E238" s="34">
        <v>750</v>
      </c>
      <c r="F238" s="36"/>
      <c r="G238" s="34">
        <f t="shared" si="4"/>
        <v>65481.679999999978</v>
      </c>
    </row>
    <row r="239" spans="2:7" ht="21" x14ac:dyDescent="0.4">
      <c r="B239" s="32">
        <v>26</v>
      </c>
      <c r="C239" s="33" t="s">
        <v>137</v>
      </c>
      <c r="D239" s="34" t="s">
        <v>138</v>
      </c>
      <c r="E239" s="34"/>
      <c r="F239" s="36">
        <v>290</v>
      </c>
      <c r="G239" s="34">
        <f t="shared" si="4"/>
        <v>65191.679999999978</v>
      </c>
    </row>
    <row r="240" spans="2:7" ht="21" x14ac:dyDescent="0.4">
      <c r="B240" s="32">
        <v>27</v>
      </c>
      <c r="C240" s="49" t="s">
        <v>256</v>
      </c>
      <c r="D240" s="51" t="s">
        <v>266</v>
      </c>
      <c r="E240" s="34">
        <v>300</v>
      </c>
      <c r="F240" s="36"/>
      <c r="G240" s="34">
        <f t="shared" si="4"/>
        <v>65491.679999999978</v>
      </c>
    </row>
    <row r="241" spans="2:7" ht="21" x14ac:dyDescent="0.4">
      <c r="B241" s="32">
        <v>28</v>
      </c>
      <c r="C241" s="33" t="s">
        <v>139</v>
      </c>
      <c r="D241" s="51" t="s">
        <v>234</v>
      </c>
      <c r="E241" s="34">
        <v>150</v>
      </c>
      <c r="F241" s="36"/>
      <c r="G241" s="34">
        <f t="shared" si="4"/>
        <v>65641.679999999978</v>
      </c>
    </row>
    <row r="242" spans="2:7" ht="21" x14ac:dyDescent="0.4">
      <c r="B242" s="32">
        <v>29</v>
      </c>
      <c r="C242" s="49" t="s">
        <v>253</v>
      </c>
      <c r="D242" s="51" t="s">
        <v>254</v>
      </c>
      <c r="E242" s="34">
        <v>380</v>
      </c>
      <c r="F242" s="36"/>
      <c r="G242" s="34">
        <f t="shared" si="4"/>
        <v>66021.679999999978</v>
      </c>
    </row>
    <row r="243" spans="2:7" ht="21" x14ac:dyDescent="0.4">
      <c r="B243" s="32">
        <v>29</v>
      </c>
      <c r="C243" s="33" t="s">
        <v>139</v>
      </c>
      <c r="D243" s="51" t="s">
        <v>234</v>
      </c>
      <c r="E243" s="34">
        <v>150</v>
      </c>
      <c r="F243" s="36"/>
      <c r="G243" s="34">
        <f t="shared" si="4"/>
        <v>66171.679999999978</v>
      </c>
    </row>
    <row r="244" spans="2:7" ht="21" x14ac:dyDescent="0.4">
      <c r="B244" s="56">
        <v>30</v>
      </c>
      <c r="C244" s="33" t="s">
        <v>12</v>
      </c>
      <c r="D244" s="62" t="s">
        <v>250</v>
      </c>
      <c r="E244" s="34">
        <v>1000</v>
      </c>
      <c r="F244" s="36"/>
      <c r="G244" s="34">
        <f t="shared" si="4"/>
        <v>67171.679999999978</v>
      </c>
    </row>
    <row r="245" spans="2:7" ht="21" x14ac:dyDescent="0.4">
      <c r="B245" s="32">
        <v>30</v>
      </c>
      <c r="C245" s="49" t="s">
        <v>97</v>
      </c>
      <c r="D245" s="38" t="s">
        <v>113</v>
      </c>
      <c r="E245" s="34"/>
      <c r="F245" s="36">
        <v>2881.82</v>
      </c>
      <c r="G245" s="34">
        <f t="shared" si="4"/>
        <v>64289.859999999979</v>
      </c>
    </row>
    <row r="246" spans="2:7" ht="21" x14ac:dyDescent="0.4">
      <c r="B246" s="32">
        <v>30</v>
      </c>
      <c r="C246" s="33" t="s">
        <v>30</v>
      </c>
      <c r="D246" s="38" t="s">
        <v>114</v>
      </c>
      <c r="E246" s="34"/>
      <c r="F246" s="36">
        <v>230.55</v>
      </c>
      <c r="G246" s="34">
        <f t="shared" si="4"/>
        <v>64059.309999999976</v>
      </c>
    </row>
    <row r="247" spans="2:7" ht="21" x14ac:dyDescent="0.4">
      <c r="B247" s="32">
        <v>30</v>
      </c>
      <c r="C247" s="33" t="s">
        <v>121</v>
      </c>
      <c r="D247" s="38" t="s">
        <v>122</v>
      </c>
      <c r="E247" s="34"/>
      <c r="F247" s="36">
        <v>4000</v>
      </c>
      <c r="G247" s="34">
        <f t="shared" si="4"/>
        <v>60059.309999999976</v>
      </c>
    </row>
    <row r="248" spans="2:7" ht="21" x14ac:dyDescent="0.4">
      <c r="B248" s="32">
        <v>30</v>
      </c>
      <c r="C248" s="33" t="s">
        <v>194</v>
      </c>
      <c r="D248" s="38" t="s">
        <v>195</v>
      </c>
      <c r="E248" s="34"/>
      <c r="F248" s="36">
        <v>440</v>
      </c>
      <c r="G248" s="34">
        <f t="shared" si="4"/>
        <v>59619.309999999976</v>
      </c>
    </row>
    <row r="249" spans="2:7" ht="21" x14ac:dyDescent="0.4">
      <c r="B249" s="32">
        <v>30</v>
      </c>
      <c r="C249" s="33" t="s">
        <v>52</v>
      </c>
      <c r="D249" s="34" t="s">
        <v>346</v>
      </c>
      <c r="E249" s="34"/>
      <c r="F249" s="36">
        <v>240.15</v>
      </c>
      <c r="G249" s="34">
        <f t="shared" si="4"/>
        <v>59379.159999999974</v>
      </c>
    </row>
    <row r="250" spans="2:7" ht="21" x14ac:dyDescent="0.4">
      <c r="B250" s="32">
        <v>30</v>
      </c>
      <c r="C250" s="33" t="s">
        <v>167</v>
      </c>
      <c r="D250" s="34" t="s">
        <v>346</v>
      </c>
      <c r="E250" s="34"/>
      <c r="F250" s="36">
        <v>320.19</v>
      </c>
      <c r="G250" s="34">
        <f t="shared" si="4"/>
        <v>59058.969999999972</v>
      </c>
    </row>
    <row r="251" spans="2:7" ht="21" x14ac:dyDescent="0.4">
      <c r="B251" s="32">
        <v>30</v>
      </c>
      <c r="C251" s="33" t="s">
        <v>53</v>
      </c>
      <c r="D251" s="34" t="s">
        <v>346</v>
      </c>
      <c r="E251" s="34"/>
      <c r="F251" s="36">
        <v>44.82</v>
      </c>
      <c r="G251" s="34">
        <f t="shared" si="4"/>
        <v>59014.149999999972</v>
      </c>
    </row>
    <row r="252" spans="2:7" ht="14.4" x14ac:dyDescent="0.3">
      <c r="E252" s="46">
        <f>SUM(E207:E251)</f>
        <v>12360</v>
      </c>
      <c r="F252" s="26"/>
    </row>
    <row r="253" spans="2:7" ht="14.4" x14ac:dyDescent="0.3"/>
    <row r="254" spans="2:7" ht="25.8" x14ac:dyDescent="0.5">
      <c r="E254" s="44">
        <f>SUM(E204:E251)</f>
        <v>71190.199999999983</v>
      </c>
      <c r="F254" s="45">
        <f>SUM(F204:F251)</f>
        <v>12176.05</v>
      </c>
      <c r="G254" s="44">
        <f>E254-F254</f>
        <v>59014.14999999998</v>
      </c>
    </row>
    <row r="255" spans="2:7" ht="14.4" x14ac:dyDescent="0.3"/>
    <row r="256" spans="2:7" ht="14.4" x14ac:dyDescent="0.3">
      <c r="B256" s="144" t="s">
        <v>193</v>
      </c>
      <c r="C256" s="145"/>
      <c r="D256" s="145"/>
      <c r="E256" s="145"/>
      <c r="F256" s="145"/>
      <c r="G256" s="146"/>
    </row>
    <row r="257" spans="2:10" ht="14.4" x14ac:dyDescent="0.3">
      <c r="B257" s="147"/>
      <c r="C257" s="148"/>
      <c r="D257" s="148"/>
      <c r="E257" s="148"/>
      <c r="F257" s="148"/>
      <c r="G257" s="149"/>
    </row>
    <row r="258" spans="2:10" ht="23.4" x14ac:dyDescent="0.45">
      <c r="B258" s="28" t="s">
        <v>94</v>
      </c>
      <c r="C258" s="28" t="s">
        <v>95</v>
      </c>
      <c r="D258" s="29" t="s">
        <v>101</v>
      </c>
      <c r="E258" s="29" t="s">
        <v>102</v>
      </c>
      <c r="F258" s="30" t="s">
        <v>103</v>
      </c>
      <c r="G258" s="31" t="s">
        <v>96</v>
      </c>
    </row>
    <row r="259" spans="2:10" ht="21" x14ac:dyDescent="0.4">
      <c r="B259" s="82" t="s">
        <v>353</v>
      </c>
      <c r="C259" s="33" t="s">
        <v>96</v>
      </c>
      <c r="E259" s="34">
        <f>G251</f>
        <v>59014.149999999972</v>
      </c>
      <c r="F259" s="34"/>
      <c r="G259" s="34">
        <f>E259</f>
        <v>59014.149999999972</v>
      </c>
    </row>
    <row r="260" spans="2:10" ht="21" x14ac:dyDescent="0.4">
      <c r="B260" s="119">
        <v>2</v>
      </c>
      <c r="C260" s="49" t="s">
        <v>115</v>
      </c>
      <c r="D260" s="50" t="s">
        <v>116</v>
      </c>
      <c r="E260" s="34"/>
      <c r="F260" s="36">
        <v>440</v>
      </c>
      <c r="G260" s="34">
        <f>G259+E260-F260</f>
        <v>58574.149999999972</v>
      </c>
    </row>
    <row r="261" spans="2:10" ht="21" x14ac:dyDescent="0.4">
      <c r="B261" s="56">
        <v>6</v>
      </c>
      <c r="C261" s="33" t="s">
        <v>10</v>
      </c>
      <c r="D261" s="61" t="s">
        <v>270</v>
      </c>
      <c r="E261" s="34">
        <v>250</v>
      </c>
      <c r="F261" s="36"/>
      <c r="G261" s="34">
        <f t="shared" ref="G261:G300" si="5">G260+E261-F261</f>
        <v>58824.149999999972</v>
      </c>
    </row>
    <row r="262" spans="2:10" ht="21" x14ac:dyDescent="0.4">
      <c r="B262" s="32">
        <v>6</v>
      </c>
      <c r="C262" s="33" t="s">
        <v>110</v>
      </c>
      <c r="D262" s="33" t="s">
        <v>177</v>
      </c>
      <c r="E262" s="34"/>
      <c r="F262" s="36">
        <v>125.32</v>
      </c>
      <c r="G262" s="34">
        <f t="shared" si="5"/>
        <v>58698.829999999973</v>
      </c>
    </row>
    <row r="263" spans="2:10" ht="21" x14ac:dyDescent="0.4">
      <c r="B263" s="32">
        <v>6</v>
      </c>
      <c r="C263" s="33" t="s">
        <v>58</v>
      </c>
      <c r="D263" s="38" t="s">
        <v>111</v>
      </c>
      <c r="E263" s="34"/>
      <c r="F263" s="36">
        <v>200</v>
      </c>
      <c r="G263" s="34">
        <f t="shared" si="5"/>
        <v>58498.829999999973</v>
      </c>
    </row>
    <row r="264" spans="2:10" ht="21" x14ac:dyDescent="0.4">
      <c r="B264" s="32">
        <v>9</v>
      </c>
      <c r="C264" s="49" t="s">
        <v>149</v>
      </c>
      <c r="D264" s="50" t="s">
        <v>275</v>
      </c>
      <c r="E264" s="34">
        <v>150</v>
      </c>
      <c r="F264" s="36"/>
      <c r="G264" s="34">
        <f t="shared" si="5"/>
        <v>58648.829999999973</v>
      </c>
    </row>
    <row r="265" spans="2:10" ht="21" x14ac:dyDescent="0.4">
      <c r="B265" s="32">
        <v>9</v>
      </c>
      <c r="C265" s="33" t="s">
        <v>10</v>
      </c>
      <c r="D265" s="61" t="s">
        <v>226</v>
      </c>
      <c r="E265" s="34">
        <v>250</v>
      </c>
      <c r="F265" s="36"/>
      <c r="G265" s="34">
        <f t="shared" si="5"/>
        <v>58898.829999999973</v>
      </c>
    </row>
    <row r="266" spans="2:10" ht="21" x14ac:dyDescent="0.4">
      <c r="B266" s="56">
        <v>9</v>
      </c>
      <c r="C266" s="33" t="s">
        <v>10</v>
      </c>
      <c r="D266" s="61" t="s">
        <v>227</v>
      </c>
      <c r="E266" s="34">
        <v>500</v>
      </c>
      <c r="F266" s="36"/>
      <c r="G266" s="34">
        <f t="shared" si="5"/>
        <v>59398.829999999973</v>
      </c>
    </row>
    <row r="267" spans="2:10" ht="21" x14ac:dyDescent="0.4">
      <c r="B267" s="32">
        <v>9</v>
      </c>
      <c r="C267" s="33" t="s">
        <v>118</v>
      </c>
      <c r="D267" s="38" t="s">
        <v>291</v>
      </c>
      <c r="E267" s="34"/>
      <c r="F267" s="36">
        <v>553.20000000000005</v>
      </c>
      <c r="G267" s="34">
        <f t="shared" si="5"/>
        <v>58845.629999999976</v>
      </c>
    </row>
    <row r="268" spans="2:10" ht="23.4" x14ac:dyDescent="0.45">
      <c r="B268" s="32">
        <v>10</v>
      </c>
      <c r="C268" s="33" t="s">
        <v>68</v>
      </c>
      <c r="D268" s="38" t="s">
        <v>292</v>
      </c>
      <c r="E268" s="34"/>
      <c r="F268" s="36">
        <v>403.33</v>
      </c>
      <c r="G268" s="34">
        <f t="shared" si="5"/>
        <v>58442.299999999974</v>
      </c>
      <c r="I268" s="60"/>
      <c r="J268" s="60"/>
    </row>
    <row r="269" spans="2:10" ht="23.4" x14ac:dyDescent="0.45">
      <c r="B269" s="32">
        <v>10</v>
      </c>
      <c r="C269" s="33" t="s">
        <v>146</v>
      </c>
      <c r="D269" s="38" t="s">
        <v>147</v>
      </c>
      <c r="E269" s="34"/>
      <c r="F269" s="36">
        <v>139.97999999999999</v>
      </c>
      <c r="G269" s="34">
        <f t="shared" si="5"/>
        <v>58302.319999999971</v>
      </c>
      <c r="I269" s="60"/>
      <c r="J269" s="60"/>
    </row>
    <row r="270" spans="2:10" ht="23.4" x14ac:dyDescent="0.45">
      <c r="B270" s="56">
        <v>12</v>
      </c>
      <c r="C270" s="33" t="s">
        <v>12</v>
      </c>
      <c r="D270" s="70" t="s">
        <v>239</v>
      </c>
      <c r="E270" s="34">
        <v>1000</v>
      </c>
      <c r="F270" s="36"/>
      <c r="G270" s="34">
        <f t="shared" si="5"/>
        <v>59302.319999999971</v>
      </c>
      <c r="I270" s="60"/>
      <c r="J270" s="60"/>
    </row>
    <row r="271" spans="2:10" ht="23.4" x14ac:dyDescent="0.45">
      <c r="B271" s="32">
        <v>12</v>
      </c>
      <c r="C271" s="49" t="s">
        <v>237</v>
      </c>
      <c r="D271" s="52" t="s">
        <v>238</v>
      </c>
      <c r="E271" s="34">
        <v>380</v>
      </c>
      <c r="F271" s="36"/>
      <c r="G271" s="34">
        <f t="shared" si="5"/>
        <v>59682.319999999971</v>
      </c>
      <c r="I271" s="60"/>
      <c r="J271" s="60"/>
    </row>
    <row r="272" spans="2:10" ht="23.4" x14ac:dyDescent="0.45">
      <c r="B272" s="32">
        <v>12</v>
      </c>
      <c r="C272" s="49" t="s">
        <v>11</v>
      </c>
      <c r="D272" s="69" t="s">
        <v>272</v>
      </c>
      <c r="E272" s="34">
        <v>800</v>
      </c>
      <c r="F272" s="36"/>
      <c r="G272" s="34">
        <f t="shared" si="5"/>
        <v>60482.319999999971</v>
      </c>
      <c r="I272" s="60"/>
      <c r="J272" s="60"/>
    </row>
    <row r="273" spans="2:10" ht="23.4" x14ac:dyDescent="0.45">
      <c r="B273" s="32">
        <v>13</v>
      </c>
      <c r="C273" s="33" t="s">
        <v>12</v>
      </c>
      <c r="D273" s="67" t="s">
        <v>273</v>
      </c>
      <c r="E273" s="34">
        <v>1000</v>
      </c>
      <c r="F273" s="36"/>
      <c r="G273" s="34">
        <f t="shared" si="5"/>
        <v>61482.319999999971</v>
      </c>
      <c r="I273" s="60"/>
      <c r="J273" s="60"/>
    </row>
    <row r="274" spans="2:10" ht="23.4" x14ac:dyDescent="0.45">
      <c r="B274" s="32">
        <v>13</v>
      </c>
      <c r="C274" s="33" t="s">
        <v>224</v>
      </c>
      <c r="D274" s="68" t="s">
        <v>276</v>
      </c>
      <c r="E274" s="34">
        <v>1200</v>
      </c>
      <c r="F274" s="36"/>
      <c r="G274" s="34">
        <f t="shared" si="5"/>
        <v>62682.319999999971</v>
      </c>
      <c r="I274" s="60"/>
      <c r="J274" s="60"/>
    </row>
    <row r="275" spans="2:10" ht="21" x14ac:dyDescent="0.4">
      <c r="B275" s="32">
        <v>16</v>
      </c>
      <c r="C275" s="35" t="s">
        <v>40</v>
      </c>
      <c r="D275" s="42" t="s">
        <v>148</v>
      </c>
      <c r="E275" s="34"/>
      <c r="F275" s="36">
        <v>295</v>
      </c>
      <c r="G275" s="34">
        <f t="shared" si="5"/>
        <v>62387.319999999971</v>
      </c>
    </row>
    <row r="276" spans="2:10" ht="21" x14ac:dyDescent="0.4">
      <c r="B276" s="32">
        <v>16</v>
      </c>
      <c r="C276" s="35" t="s">
        <v>125</v>
      </c>
      <c r="D276" s="38" t="s">
        <v>126</v>
      </c>
      <c r="E276" s="34"/>
      <c r="F276" s="36">
        <v>189.15</v>
      </c>
      <c r="G276" s="34">
        <f t="shared" si="5"/>
        <v>62198.169999999969</v>
      </c>
    </row>
    <row r="277" spans="2:10" ht="21" x14ac:dyDescent="0.4">
      <c r="B277" s="56">
        <v>16</v>
      </c>
      <c r="C277" s="33" t="s">
        <v>10</v>
      </c>
      <c r="D277" s="58" t="s">
        <v>150</v>
      </c>
      <c r="E277" s="34">
        <v>250</v>
      </c>
      <c r="F277" s="36"/>
      <c r="G277" s="34">
        <f t="shared" si="5"/>
        <v>62448.169999999969</v>
      </c>
    </row>
    <row r="278" spans="2:10" ht="21" x14ac:dyDescent="0.4">
      <c r="B278" s="56">
        <v>17</v>
      </c>
      <c r="C278" s="33" t="s">
        <v>10</v>
      </c>
      <c r="D278" s="55" t="s">
        <v>151</v>
      </c>
      <c r="E278" s="34">
        <v>1000</v>
      </c>
      <c r="F278" s="36"/>
      <c r="G278" s="34">
        <f t="shared" si="5"/>
        <v>63448.169999999969</v>
      </c>
    </row>
    <row r="279" spans="2:10" ht="21" x14ac:dyDescent="0.4">
      <c r="B279" s="118">
        <v>20</v>
      </c>
      <c r="C279" s="33" t="s">
        <v>343</v>
      </c>
      <c r="D279" s="51" t="s">
        <v>200</v>
      </c>
      <c r="E279" s="34"/>
      <c r="F279" s="36">
        <v>226.09</v>
      </c>
      <c r="G279" s="34">
        <f t="shared" si="5"/>
        <v>63222.079999999973</v>
      </c>
    </row>
    <row r="280" spans="2:10" ht="21" x14ac:dyDescent="0.4">
      <c r="B280" s="118">
        <v>20</v>
      </c>
      <c r="C280" s="33" t="s">
        <v>127</v>
      </c>
      <c r="D280" s="51" t="s">
        <v>200</v>
      </c>
      <c r="E280" s="34"/>
      <c r="F280" s="36">
        <v>165.09</v>
      </c>
      <c r="G280" s="34">
        <f t="shared" si="5"/>
        <v>63056.989999999976</v>
      </c>
    </row>
    <row r="281" spans="2:10" ht="21" x14ac:dyDescent="0.4">
      <c r="B281" s="32">
        <v>20</v>
      </c>
      <c r="C281" s="33" t="s">
        <v>129</v>
      </c>
      <c r="D281" s="34" t="s">
        <v>130</v>
      </c>
      <c r="E281" s="34"/>
      <c r="F281" s="36">
        <v>146.71</v>
      </c>
      <c r="G281" s="34">
        <f t="shared" si="5"/>
        <v>62910.279999999977</v>
      </c>
    </row>
    <row r="282" spans="2:10" ht="21" x14ac:dyDescent="0.4">
      <c r="B282" s="32">
        <v>20</v>
      </c>
      <c r="C282" s="33" t="s">
        <v>45</v>
      </c>
      <c r="D282" s="34" t="s">
        <v>152</v>
      </c>
      <c r="E282" s="34"/>
      <c r="F282" s="36">
        <v>600</v>
      </c>
      <c r="G282" s="34">
        <f t="shared" si="5"/>
        <v>62310.279999999977</v>
      </c>
    </row>
    <row r="283" spans="2:10" ht="21" x14ac:dyDescent="0.4">
      <c r="B283" s="32">
        <v>23</v>
      </c>
      <c r="C283" s="33" t="s">
        <v>131</v>
      </c>
      <c r="D283" s="51" t="s">
        <v>245</v>
      </c>
      <c r="E283" s="34">
        <v>380</v>
      </c>
      <c r="F283" s="36"/>
      <c r="G283" s="34">
        <f t="shared" si="5"/>
        <v>62690.279999999977</v>
      </c>
    </row>
    <row r="284" spans="2:10" ht="21" x14ac:dyDescent="0.4">
      <c r="B284" s="32">
        <v>23</v>
      </c>
      <c r="C284" s="49" t="s">
        <v>11</v>
      </c>
      <c r="D284" s="55" t="s">
        <v>230</v>
      </c>
      <c r="E284" s="34">
        <v>800</v>
      </c>
      <c r="F284" s="36"/>
      <c r="G284" s="34">
        <f t="shared" si="5"/>
        <v>63490.279999999977</v>
      </c>
    </row>
    <row r="285" spans="2:10" ht="21" x14ac:dyDescent="0.4">
      <c r="B285" s="56">
        <v>23</v>
      </c>
      <c r="C285" s="33" t="s">
        <v>10</v>
      </c>
      <c r="D285" s="57" t="s">
        <v>136</v>
      </c>
      <c r="E285" s="34">
        <v>250</v>
      </c>
      <c r="F285" s="36"/>
      <c r="G285" s="34">
        <f t="shared" si="5"/>
        <v>63740.279999999977</v>
      </c>
    </row>
    <row r="286" spans="2:10" ht="21" x14ac:dyDescent="0.4">
      <c r="B286" s="56">
        <v>24</v>
      </c>
      <c r="C286" s="33" t="s">
        <v>10</v>
      </c>
      <c r="D286" s="62" t="s">
        <v>235</v>
      </c>
      <c r="E286" s="34">
        <v>750</v>
      </c>
      <c r="F286" s="36"/>
      <c r="G286" s="34">
        <f t="shared" si="5"/>
        <v>64490.279999999977</v>
      </c>
    </row>
    <row r="287" spans="2:10" ht="21" x14ac:dyDescent="0.4">
      <c r="B287" s="56">
        <v>25</v>
      </c>
      <c r="C287" s="33" t="s">
        <v>10</v>
      </c>
      <c r="D287" s="62" t="s">
        <v>236</v>
      </c>
      <c r="E287" s="34">
        <v>1250</v>
      </c>
      <c r="F287" s="36"/>
      <c r="G287" s="34">
        <f t="shared" si="5"/>
        <v>65740.27999999997</v>
      </c>
    </row>
    <row r="288" spans="2:10" ht="21" x14ac:dyDescent="0.4">
      <c r="B288" s="32">
        <v>26</v>
      </c>
      <c r="C288" s="33" t="s">
        <v>137</v>
      </c>
      <c r="D288" s="34" t="s">
        <v>138</v>
      </c>
      <c r="E288" s="34"/>
      <c r="F288" s="36">
        <v>290</v>
      </c>
      <c r="G288" s="34">
        <f t="shared" si="5"/>
        <v>65450.27999999997</v>
      </c>
    </row>
    <row r="289" spans="2:7" ht="21" x14ac:dyDescent="0.4">
      <c r="B289" s="32">
        <v>26</v>
      </c>
      <c r="C289" s="33" t="s">
        <v>139</v>
      </c>
      <c r="D289" s="51" t="s">
        <v>234</v>
      </c>
      <c r="E289" s="34">
        <v>150</v>
      </c>
      <c r="F289" s="36"/>
      <c r="G289" s="34">
        <f t="shared" si="5"/>
        <v>65600.27999999997</v>
      </c>
    </row>
    <row r="290" spans="2:7" ht="21" x14ac:dyDescent="0.4">
      <c r="B290" s="32">
        <v>27</v>
      </c>
      <c r="C290" s="33" t="s">
        <v>139</v>
      </c>
      <c r="D290" s="51" t="s">
        <v>234</v>
      </c>
      <c r="E290" s="34">
        <v>150</v>
      </c>
      <c r="F290" s="36"/>
      <c r="G290" s="34">
        <f t="shared" si="5"/>
        <v>65750.27999999997</v>
      </c>
    </row>
    <row r="291" spans="2:7" ht="21" x14ac:dyDescent="0.4">
      <c r="B291" s="56">
        <v>30</v>
      </c>
      <c r="C291" s="33" t="s">
        <v>12</v>
      </c>
      <c r="D291" s="62" t="s">
        <v>255</v>
      </c>
      <c r="E291" s="34">
        <v>1000</v>
      </c>
      <c r="F291" s="36"/>
      <c r="G291" s="34">
        <f t="shared" si="5"/>
        <v>66750.27999999997</v>
      </c>
    </row>
    <row r="292" spans="2:7" ht="21" x14ac:dyDescent="0.4">
      <c r="B292" s="32">
        <v>30</v>
      </c>
      <c r="C292" s="49" t="s">
        <v>97</v>
      </c>
      <c r="D292" s="38" t="s">
        <v>113</v>
      </c>
      <c r="E292" s="34"/>
      <c r="F292" s="36">
        <v>2881.82</v>
      </c>
      <c r="G292" s="34">
        <f t="shared" si="5"/>
        <v>63868.45999999997</v>
      </c>
    </row>
    <row r="293" spans="2:7" ht="21" x14ac:dyDescent="0.4">
      <c r="B293" s="32">
        <v>30</v>
      </c>
      <c r="C293" s="33" t="s">
        <v>30</v>
      </c>
      <c r="D293" s="38" t="s">
        <v>114</v>
      </c>
      <c r="E293" s="34"/>
      <c r="F293" s="36">
        <v>230.55</v>
      </c>
      <c r="G293" s="34">
        <f t="shared" si="5"/>
        <v>63637.909999999967</v>
      </c>
    </row>
    <row r="294" spans="2:7" ht="21" x14ac:dyDescent="0.4">
      <c r="B294" s="32">
        <v>30</v>
      </c>
      <c r="C294" s="33" t="s">
        <v>121</v>
      </c>
      <c r="D294" s="38" t="s">
        <v>122</v>
      </c>
      <c r="E294" s="34"/>
      <c r="F294" s="36">
        <v>4000</v>
      </c>
      <c r="G294" s="34">
        <f t="shared" si="5"/>
        <v>59637.909999999967</v>
      </c>
    </row>
    <row r="295" spans="2:7" ht="21" x14ac:dyDescent="0.4">
      <c r="B295" s="32">
        <v>30</v>
      </c>
      <c r="C295" s="33" t="s">
        <v>194</v>
      </c>
      <c r="D295" s="38" t="s">
        <v>195</v>
      </c>
      <c r="E295" s="34"/>
      <c r="F295" s="36">
        <v>440</v>
      </c>
      <c r="G295" s="34">
        <f t="shared" si="5"/>
        <v>59197.909999999967</v>
      </c>
    </row>
    <row r="296" spans="2:7" ht="21" x14ac:dyDescent="0.4">
      <c r="B296" s="32">
        <v>30</v>
      </c>
      <c r="C296" s="33" t="s">
        <v>52</v>
      </c>
      <c r="D296" s="34" t="s">
        <v>334</v>
      </c>
      <c r="E296" s="34"/>
      <c r="F296" s="36">
        <v>240.15</v>
      </c>
      <c r="G296" s="34">
        <f t="shared" si="5"/>
        <v>58957.759999999966</v>
      </c>
    </row>
    <row r="297" spans="2:7" ht="21" x14ac:dyDescent="0.4">
      <c r="B297" s="32">
        <v>30</v>
      </c>
      <c r="C297" s="33" t="s">
        <v>167</v>
      </c>
      <c r="D297" s="34" t="s">
        <v>334</v>
      </c>
      <c r="E297" s="34"/>
      <c r="F297" s="36">
        <v>320.19</v>
      </c>
      <c r="G297" s="34">
        <f t="shared" si="5"/>
        <v>58637.569999999963</v>
      </c>
    </row>
    <row r="298" spans="2:7" ht="21" x14ac:dyDescent="0.4">
      <c r="B298" s="32">
        <v>30</v>
      </c>
      <c r="C298" s="33" t="s">
        <v>53</v>
      </c>
      <c r="D298" s="34" t="s">
        <v>334</v>
      </c>
      <c r="E298" s="34"/>
      <c r="F298" s="36">
        <v>44.82</v>
      </c>
      <c r="G298" s="34">
        <f t="shared" si="5"/>
        <v>58592.749999999964</v>
      </c>
    </row>
    <row r="299" spans="2:7" ht="21" x14ac:dyDescent="0.4">
      <c r="B299" s="32">
        <v>30</v>
      </c>
      <c r="C299" s="49" t="s">
        <v>70</v>
      </c>
      <c r="D299" s="51" t="s">
        <v>201</v>
      </c>
      <c r="E299" s="34"/>
      <c r="F299" s="36">
        <v>1260</v>
      </c>
      <c r="G299" s="34">
        <f t="shared" si="5"/>
        <v>57332.749999999964</v>
      </c>
    </row>
    <row r="300" spans="2:7" ht="21" x14ac:dyDescent="0.4">
      <c r="B300" s="32">
        <v>30</v>
      </c>
      <c r="C300" s="49" t="s">
        <v>174</v>
      </c>
      <c r="D300" s="51" t="s">
        <v>249</v>
      </c>
      <c r="E300" s="34"/>
      <c r="F300" s="36">
        <v>2200</v>
      </c>
      <c r="G300" s="34">
        <f t="shared" si="5"/>
        <v>55132.749999999964</v>
      </c>
    </row>
    <row r="301" spans="2:7" ht="14.4" x14ac:dyDescent="0.3">
      <c r="E301" s="46">
        <f>SUM(E261:E300)</f>
        <v>11510</v>
      </c>
      <c r="F301" s="26"/>
    </row>
    <row r="302" spans="2:7" ht="14.4" x14ac:dyDescent="0.3"/>
    <row r="303" spans="2:7" ht="25.8" x14ac:dyDescent="0.5">
      <c r="E303" s="44">
        <f>SUM(E259:E300)</f>
        <v>70524.149999999965</v>
      </c>
      <c r="F303" s="45">
        <f t="shared" ref="F303" si="6">SUM(F259:F300)</f>
        <v>15391.400000000001</v>
      </c>
      <c r="G303" s="44">
        <f>E303-F303</f>
        <v>55132.749999999964</v>
      </c>
    </row>
    <row r="304" spans="2:7" ht="14.4" x14ac:dyDescent="0.3"/>
    <row r="305" ht="14.4" x14ac:dyDescent="0.3"/>
    <row r="306" ht="14.4" x14ac:dyDescent="0.3"/>
    <row r="307" ht="14.4" x14ac:dyDescent="0.3"/>
    <row r="308" ht="14.4" x14ac:dyDescent="0.3"/>
    <row r="309" ht="14.4" x14ac:dyDescent="0.3"/>
    <row r="310" ht="14.4" x14ac:dyDescent="0.3"/>
    <row r="311" ht="14.4" x14ac:dyDescent="0.3"/>
    <row r="312" ht="14.4" x14ac:dyDescent="0.3"/>
    <row r="313" ht="14.4" x14ac:dyDescent="0.3"/>
    <row r="314" ht="14.4" x14ac:dyDescent="0.3"/>
    <row r="315" ht="14.4" x14ac:dyDescent="0.3"/>
    <row r="316" ht="14.4" x14ac:dyDescent="0.3"/>
    <row r="317" ht="14.4" x14ac:dyDescent="0.3"/>
    <row r="318" ht="14.4" x14ac:dyDescent="0.3"/>
    <row r="319" ht="14.4" x14ac:dyDescent="0.3"/>
    <row r="320" ht="14.4" x14ac:dyDescent="0.3"/>
    <row r="321" ht="14.4" x14ac:dyDescent="0.3"/>
    <row r="322" ht="14.4" x14ac:dyDescent="0.3"/>
    <row r="323" ht="14.4" x14ac:dyDescent="0.3"/>
    <row r="324" ht="14.4" x14ac:dyDescent="0.3"/>
    <row r="325" ht="14.4" x14ac:dyDescent="0.3"/>
    <row r="326" ht="14.4" x14ac:dyDescent="0.3"/>
    <row r="327" ht="14.4" x14ac:dyDescent="0.3"/>
    <row r="328" ht="14.4" x14ac:dyDescent="0.3"/>
    <row r="329" ht="14.4" x14ac:dyDescent="0.3"/>
    <row r="330" ht="14.4" x14ac:dyDescent="0.3"/>
    <row r="331" ht="14.4" x14ac:dyDescent="0.3"/>
    <row r="332" ht="14.4" x14ac:dyDescent="0.3"/>
    <row r="333" ht="14.4" x14ac:dyDescent="0.3"/>
    <row r="334" ht="14.4" x14ac:dyDescent="0.3"/>
    <row r="335" ht="14.4" x14ac:dyDescent="0.3"/>
    <row r="336" ht="14.4" x14ac:dyDescent="0.3"/>
    <row r="337" ht="14.4" x14ac:dyDescent="0.3"/>
    <row r="338" ht="14.4" x14ac:dyDescent="0.3"/>
    <row r="339" ht="14.4" x14ac:dyDescent="0.3"/>
    <row r="340" ht="14.4" x14ac:dyDescent="0.3"/>
    <row r="341" ht="14.4" x14ac:dyDescent="0.3"/>
    <row r="342" ht="14.4" x14ac:dyDescent="0.3"/>
    <row r="343" ht="14.4" x14ac:dyDescent="0.3"/>
    <row r="344" ht="14.4" x14ac:dyDescent="0.3"/>
    <row r="345" ht="14.4" x14ac:dyDescent="0.3"/>
    <row r="346" ht="14.4" x14ac:dyDescent="0.3"/>
    <row r="347" ht="14.4" x14ac:dyDescent="0.3"/>
    <row r="348" ht="14.4" x14ac:dyDescent="0.3"/>
    <row r="349" ht="14.4" x14ac:dyDescent="0.3"/>
    <row r="350" ht="14.4" x14ac:dyDescent="0.3"/>
    <row r="351" ht="14.4" x14ac:dyDescent="0.3"/>
    <row r="352" ht="14.4" x14ac:dyDescent="0.3"/>
    <row r="353" ht="14.4" x14ac:dyDescent="0.3"/>
    <row r="354" ht="14.4" x14ac:dyDescent="0.3"/>
    <row r="355" ht="14.4" x14ac:dyDescent="0.3"/>
    <row r="356" ht="14.4" x14ac:dyDescent="0.3"/>
    <row r="357" ht="14.4" x14ac:dyDescent="0.3"/>
    <row r="358" ht="14.4" x14ac:dyDescent="0.3"/>
    <row r="359" ht="14.4" x14ac:dyDescent="0.3"/>
    <row r="360" ht="14.4" x14ac:dyDescent="0.3"/>
    <row r="361" ht="14.4" x14ac:dyDescent="0.3"/>
    <row r="362" ht="14.4" x14ac:dyDescent="0.3"/>
    <row r="363" ht="14.4" x14ac:dyDescent="0.3"/>
    <row r="364" ht="14.4" x14ac:dyDescent="0.3"/>
    <row r="365" ht="14.4" x14ac:dyDescent="0.3"/>
    <row r="366" ht="14.4" x14ac:dyDescent="0.3"/>
    <row r="367" ht="14.4" x14ac:dyDescent="0.3"/>
    <row r="368" ht="14.4" x14ac:dyDescent="0.3"/>
    <row r="369" ht="14.4" x14ac:dyDescent="0.3"/>
    <row r="370" ht="14.4" x14ac:dyDescent="0.3"/>
    <row r="371" ht="14.4" x14ac:dyDescent="0.3"/>
    <row r="372" ht="14.4" x14ac:dyDescent="0.3"/>
    <row r="373" ht="14.4" x14ac:dyDescent="0.3"/>
    <row r="374" ht="14.4" x14ac:dyDescent="0.3"/>
    <row r="375" ht="14.4" x14ac:dyDescent="0.3"/>
    <row r="376" ht="14.4" x14ac:dyDescent="0.3"/>
    <row r="377" ht="14.4" x14ac:dyDescent="0.3"/>
    <row r="378" ht="14.4" x14ac:dyDescent="0.3"/>
    <row r="379" ht="14.4" x14ac:dyDescent="0.3"/>
    <row r="380" ht="14.4" x14ac:dyDescent="0.3"/>
    <row r="381" ht="14.4" x14ac:dyDescent="0.3"/>
    <row r="382" ht="14.4" x14ac:dyDescent="0.3"/>
    <row r="383" ht="14.4" x14ac:dyDescent="0.3"/>
    <row r="384" ht="14.4" x14ac:dyDescent="0.3"/>
    <row r="385" ht="14.4" x14ac:dyDescent="0.3"/>
    <row r="386" ht="14.4" x14ac:dyDescent="0.3"/>
    <row r="387" ht="14.4" x14ac:dyDescent="0.3"/>
    <row r="388" ht="14.4" x14ac:dyDescent="0.3"/>
    <row r="389" ht="14.4" x14ac:dyDescent="0.3"/>
    <row r="390" ht="14.4" x14ac:dyDescent="0.3"/>
    <row r="391" ht="14.4" x14ac:dyDescent="0.3"/>
    <row r="392" ht="14.4" x14ac:dyDescent="0.3"/>
    <row r="393" ht="14.4" x14ac:dyDescent="0.3"/>
    <row r="394" ht="14.4" x14ac:dyDescent="0.3"/>
    <row r="395" ht="14.4" x14ac:dyDescent="0.3"/>
    <row r="396" ht="14.4" x14ac:dyDescent="0.3"/>
    <row r="397" ht="14.4" x14ac:dyDescent="0.3"/>
    <row r="398" ht="14.4" x14ac:dyDescent="0.3"/>
    <row r="399" ht="14.4" x14ac:dyDescent="0.3"/>
    <row r="400" ht="14.4" x14ac:dyDescent="0.3"/>
    <row r="401" ht="14.4" x14ac:dyDescent="0.3"/>
    <row r="402" ht="14.4" x14ac:dyDescent="0.3"/>
    <row r="403" ht="14.4" x14ac:dyDescent="0.3"/>
    <row r="404" ht="14.4" x14ac:dyDescent="0.3"/>
    <row r="405" ht="14.4" x14ac:dyDescent="0.3"/>
    <row r="406" ht="14.4" x14ac:dyDescent="0.3"/>
    <row r="407" ht="14.4" x14ac:dyDescent="0.3"/>
    <row r="408" ht="14.4" x14ac:dyDescent="0.3"/>
    <row r="409" ht="14.4" x14ac:dyDescent="0.3"/>
    <row r="410" ht="14.4" x14ac:dyDescent="0.3"/>
    <row r="411" ht="14.4" x14ac:dyDescent="0.3"/>
    <row r="412" ht="14.4" x14ac:dyDescent="0.3"/>
    <row r="413" ht="14.4" x14ac:dyDescent="0.3"/>
    <row r="414" ht="14.4" x14ac:dyDescent="0.3"/>
    <row r="415" ht="14.4" x14ac:dyDescent="0.3"/>
    <row r="416" ht="14.4" x14ac:dyDescent="0.3"/>
    <row r="417" ht="14.4" x14ac:dyDescent="0.3"/>
    <row r="418" ht="14.4" x14ac:dyDescent="0.3"/>
    <row r="419" ht="14.4" x14ac:dyDescent="0.3"/>
    <row r="420" ht="14.4" x14ac:dyDescent="0.3"/>
    <row r="421" ht="14.4" x14ac:dyDescent="0.3"/>
    <row r="422" ht="14.4" x14ac:dyDescent="0.3"/>
    <row r="423" ht="14.4" x14ac:dyDescent="0.3"/>
    <row r="424" ht="14.4" x14ac:dyDescent="0.3"/>
    <row r="425" ht="14.4" x14ac:dyDescent="0.3"/>
    <row r="426" ht="14.4" x14ac:dyDescent="0.3"/>
    <row r="427" ht="14.4" x14ac:dyDescent="0.3"/>
    <row r="428" ht="14.4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  <row r="1006" ht="14.25" customHeight="1" x14ac:dyDescent="0.3"/>
    <row r="1007" ht="14.25" customHeight="1" x14ac:dyDescent="0.3"/>
    <row r="1008" ht="14.25" customHeight="1" x14ac:dyDescent="0.3"/>
    <row r="1009" ht="14.25" customHeight="1" x14ac:dyDescent="0.3"/>
    <row r="1010" ht="14.25" customHeight="1" x14ac:dyDescent="0.3"/>
    <row r="1011" ht="14.25" customHeight="1" x14ac:dyDescent="0.3"/>
    <row r="1012" ht="14.25" customHeight="1" x14ac:dyDescent="0.3"/>
    <row r="1013" ht="14.25" customHeight="1" x14ac:dyDescent="0.3"/>
    <row r="1014" ht="14.25" customHeight="1" x14ac:dyDescent="0.3"/>
    <row r="1015" ht="14.25" customHeight="1" x14ac:dyDescent="0.3"/>
    <row r="1016" ht="14.25" customHeight="1" x14ac:dyDescent="0.3"/>
    <row r="1017" ht="14.25" customHeight="1" x14ac:dyDescent="0.3"/>
    <row r="1018" ht="14.25" customHeight="1" x14ac:dyDescent="0.3"/>
    <row r="1019" ht="14.25" customHeight="1" x14ac:dyDescent="0.3"/>
    <row r="1020" ht="14.25" customHeight="1" x14ac:dyDescent="0.3"/>
    <row r="1021" ht="14.25" customHeight="1" x14ac:dyDescent="0.3"/>
    <row r="1022" ht="14.25" customHeight="1" x14ac:dyDescent="0.3"/>
    <row r="1023" ht="14.25" customHeight="1" x14ac:dyDescent="0.3"/>
    <row r="1024" ht="14.25" customHeight="1" x14ac:dyDescent="0.3"/>
    <row r="1025" ht="14.25" customHeight="1" x14ac:dyDescent="0.3"/>
    <row r="1026" ht="14.25" customHeight="1" x14ac:dyDescent="0.3"/>
    <row r="1027" ht="14.25" customHeight="1" x14ac:dyDescent="0.3"/>
    <row r="1028" ht="14.25" customHeight="1" x14ac:dyDescent="0.3"/>
    <row r="1029" ht="14.25" customHeight="1" x14ac:dyDescent="0.3"/>
    <row r="1030" ht="14.25" customHeight="1" x14ac:dyDescent="0.3"/>
    <row r="1031" ht="14.25" customHeight="1" x14ac:dyDescent="0.3"/>
    <row r="1032" ht="14.25" customHeight="1" x14ac:dyDescent="0.3"/>
    <row r="1033" ht="14.25" customHeight="1" x14ac:dyDescent="0.3"/>
    <row r="1034" ht="14.25" customHeight="1" x14ac:dyDescent="0.3"/>
    <row r="1035" ht="14.25" customHeight="1" x14ac:dyDescent="0.3"/>
    <row r="1036" ht="14.25" customHeight="1" x14ac:dyDescent="0.3"/>
    <row r="1037" ht="14.25" customHeight="1" x14ac:dyDescent="0.3"/>
    <row r="1038" ht="14.25" customHeight="1" x14ac:dyDescent="0.3"/>
    <row r="1039" ht="14.25" customHeight="1" x14ac:dyDescent="0.3"/>
    <row r="1040" ht="14.25" customHeight="1" x14ac:dyDescent="0.3"/>
    <row r="1041" ht="14.25" customHeight="1" x14ac:dyDescent="0.3"/>
    <row r="1042" ht="14.25" customHeight="1" x14ac:dyDescent="0.3"/>
    <row r="1043" ht="14.25" customHeight="1" x14ac:dyDescent="0.3"/>
    <row r="1044" ht="14.25" customHeight="1" x14ac:dyDescent="0.3"/>
    <row r="1045" ht="14.25" customHeight="1" x14ac:dyDescent="0.3"/>
    <row r="1046" ht="14.25" customHeight="1" x14ac:dyDescent="0.3"/>
    <row r="1047" ht="14.25" customHeight="1" x14ac:dyDescent="0.3"/>
    <row r="1048" ht="14.25" customHeight="1" x14ac:dyDescent="0.3"/>
    <row r="1049" ht="14.25" customHeight="1" x14ac:dyDescent="0.3"/>
    <row r="1050" ht="14.25" customHeight="1" x14ac:dyDescent="0.3"/>
    <row r="1051" ht="14.25" customHeight="1" x14ac:dyDescent="0.3"/>
    <row r="1052" ht="14.25" customHeight="1" x14ac:dyDescent="0.3"/>
    <row r="1053" ht="14.25" customHeight="1" x14ac:dyDescent="0.3"/>
    <row r="1054" ht="14.25" customHeight="1" x14ac:dyDescent="0.3"/>
    <row r="1055" ht="14.25" customHeight="1" x14ac:dyDescent="0.3"/>
    <row r="1056" ht="14.25" customHeight="1" x14ac:dyDescent="0.3"/>
    <row r="1057" ht="14.25" customHeight="1" x14ac:dyDescent="0.3"/>
    <row r="1058" ht="14.25" customHeight="1" x14ac:dyDescent="0.3"/>
    <row r="1059" ht="14.25" customHeight="1" x14ac:dyDescent="0.3"/>
    <row r="1060" ht="14.25" customHeight="1" x14ac:dyDescent="0.3"/>
    <row r="1061" ht="14.25" customHeight="1" x14ac:dyDescent="0.3"/>
    <row r="1062" ht="14.25" customHeight="1" x14ac:dyDescent="0.3"/>
    <row r="1063" ht="14.25" customHeight="1" x14ac:dyDescent="0.3"/>
    <row r="1064" ht="14.25" customHeight="1" x14ac:dyDescent="0.3"/>
    <row r="1065" ht="14.25" customHeight="1" x14ac:dyDescent="0.3"/>
    <row r="1066" ht="14.25" customHeight="1" x14ac:dyDescent="0.3"/>
    <row r="1067" ht="14.25" customHeight="1" x14ac:dyDescent="0.3"/>
    <row r="1068" ht="14.25" customHeight="1" x14ac:dyDescent="0.3"/>
    <row r="1069" ht="14.25" customHeight="1" x14ac:dyDescent="0.3"/>
    <row r="1070" ht="14.25" customHeight="1" x14ac:dyDescent="0.3"/>
    <row r="1071" ht="14.25" customHeight="1" x14ac:dyDescent="0.3"/>
  </sheetData>
  <mergeCells count="6">
    <mergeCell ref="B2:G3"/>
    <mergeCell ref="B256:G257"/>
    <mergeCell ref="B50:G51"/>
    <mergeCell ref="B99:G100"/>
    <mergeCell ref="B150:G151"/>
    <mergeCell ref="B201:G202"/>
  </mergeCells>
  <phoneticPr fontId="16" type="noConversion"/>
  <pageMargins left="0.511811024" right="0.511811024" top="0.78740157499999996" bottom="0.78740157499999996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B206"/>
  <sheetViews>
    <sheetView showGridLines="0" zoomScale="130" zoomScaleNormal="130" workbookViewId="0">
      <pane ySplit="1" topLeftCell="A57" activePane="bottomLeft" state="frozen"/>
      <selection pane="bottomLeft" activeCell="I29" sqref="I29"/>
    </sheetView>
  </sheetViews>
  <sheetFormatPr defaultColWidth="14.44140625" defaultRowHeight="15" customHeight="1" x14ac:dyDescent="0.3"/>
  <cols>
    <col min="1" max="1" width="8.44140625" customWidth="1"/>
    <col min="2" max="2" width="48.109375" customWidth="1"/>
    <col min="3" max="8" width="14.6640625" customWidth="1"/>
    <col min="9" max="132" width="8.6640625" customWidth="1"/>
  </cols>
  <sheetData>
    <row r="1" spans="2:12" ht="30" customHeight="1" x14ac:dyDescent="0.3"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/>
    </row>
    <row r="2" spans="2:12" ht="3" customHeight="1" x14ac:dyDescent="0.3">
      <c r="B2" s="4"/>
      <c r="C2" s="4"/>
      <c r="D2" s="4"/>
      <c r="E2" s="4"/>
      <c r="F2" s="4"/>
      <c r="G2" s="4"/>
      <c r="H2" s="4"/>
    </row>
    <row r="3" spans="2:12" ht="15" customHeight="1" x14ac:dyDescent="0.3">
      <c r="B3" s="96" t="s">
        <v>7</v>
      </c>
      <c r="C3" s="6">
        <v>70000</v>
      </c>
      <c r="D3" s="6">
        <f t="shared" ref="D3:H3" si="0">C82</f>
        <v>63883.31</v>
      </c>
      <c r="E3" s="6">
        <f t="shared" si="0"/>
        <v>61839.68</v>
      </c>
      <c r="F3" s="6">
        <f t="shared" si="0"/>
        <v>57828.459999999992</v>
      </c>
      <c r="G3" s="6">
        <f t="shared" si="0"/>
        <v>57730.2</v>
      </c>
      <c r="H3" s="97">
        <f t="shared" si="0"/>
        <v>59014.15</v>
      </c>
      <c r="I3" s="7"/>
    </row>
    <row r="4" spans="2:12" ht="19.5" customHeight="1" x14ac:dyDescent="0.3">
      <c r="B4" s="133" t="s">
        <v>8</v>
      </c>
      <c r="C4" s="134"/>
      <c r="D4" s="134"/>
      <c r="E4" s="134"/>
      <c r="F4" s="134"/>
      <c r="G4" s="134"/>
      <c r="H4" s="134"/>
      <c r="I4" s="8"/>
    </row>
    <row r="5" spans="2:12" ht="14.25" customHeight="1" x14ac:dyDescent="0.3">
      <c r="B5" s="83" t="s">
        <v>9</v>
      </c>
      <c r="C5" s="9"/>
      <c r="D5" s="9"/>
      <c r="E5" s="9"/>
      <c r="F5" s="9"/>
      <c r="G5" s="9"/>
      <c r="H5" s="9"/>
      <c r="I5" s="10"/>
      <c r="L5" s="5"/>
    </row>
    <row r="6" spans="2:12" ht="14.25" customHeight="1" x14ac:dyDescent="0.3">
      <c r="B6" s="84" t="s">
        <v>10</v>
      </c>
      <c r="C6" s="9">
        <v>750</v>
      </c>
      <c r="D6" s="9">
        <v>1000</v>
      </c>
      <c r="E6" s="9">
        <v>1250</v>
      </c>
      <c r="F6" s="9">
        <v>1250</v>
      </c>
      <c r="G6" s="9">
        <v>1500</v>
      </c>
      <c r="H6" s="9">
        <v>4500</v>
      </c>
      <c r="I6" s="11">
        <v>7</v>
      </c>
      <c r="L6" s="12"/>
    </row>
    <row r="7" spans="2:12" ht="14.25" customHeight="1" x14ac:dyDescent="0.3">
      <c r="B7" s="84" t="s">
        <v>11</v>
      </c>
      <c r="C7" s="9">
        <v>800</v>
      </c>
      <c r="D7" s="9">
        <v>800</v>
      </c>
      <c r="E7" s="9">
        <v>800</v>
      </c>
      <c r="F7" s="9">
        <v>1600</v>
      </c>
      <c r="G7" s="9">
        <v>1600</v>
      </c>
      <c r="H7" s="9">
        <v>1600</v>
      </c>
      <c r="I7" s="11">
        <v>7</v>
      </c>
      <c r="L7" s="12"/>
    </row>
    <row r="8" spans="2:12" ht="14.25" customHeight="1" x14ac:dyDescent="0.3">
      <c r="B8" s="84" t="s">
        <v>12</v>
      </c>
      <c r="C8" s="9">
        <v>2000</v>
      </c>
      <c r="D8" s="9">
        <v>2000</v>
      </c>
      <c r="E8" s="9">
        <v>3000</v>
      </c>
      <c r="F8" s="9">
        <v>3000</v>
      </c>
      <c r="G8" s="9">
        <v>3000</v>
      </c>
      <c r="H8" s="9">
        <v>3000</v>
      </c>
      <c r="I8" s="11">
        <v>7</v>
      </c>
      <c r="L8" s="12"/>
    </row>
    <row r="9" spans="2:12" ht="14.25" customHeight="1" x14ac:dyDescent="0.3">
      <c r="B9" s="84" t="s">
        <v>15</v>
      </c>
      <c r="C9" s="9">
        <v>2280</v>
      </c>
      <c r="D9" s="9">
        <v>760</v>
      </c>
      <c r="E9" s="9">
        <v>380</v>
      </c>
      <c r="F9" s="9">
        <v>380</v>
      </c>
      <c r="G9" s="9">
        <v>760</v>
      </c>
      <c r="H9" s="9">
        <v>760</v>
      </c>
      <c r="I9" s="11">
        <v>18</v>
      </c>
      <c r="L9" s="12"/>
    </row>
    <row r="10" spans="2:12" ht="14.25" customHeight="1" x14ac:dyDescent="0.3">
      <c r="B10" s="84" t="s">
        <v>16</v>
      </c>
      <c r="C10" s="71" t="s">
        <v>34</v>
      </c>
      <c r="D10" s="9">
        <v>600</v>
      </c>
      <c r="E10" s="9">
        <v>300</v>
      </c>
      <c r="F10" s="9">
        <v>1650</v>
      </c>
      <c r="G10" s="9">
        <v>1050</v>
      </c>
      <c r="H10" s="71" t="s">
        <v>34</v>
      </c>
      <c r="I10" s="11">
        <v>18</v>
      </c>
      <c r="L10" s="12"/>
    </row>
    <row r="11" spans="2:12" ht="14.25" customHeight="1" x14ac:dyDescent="0.3">
      <c r="B11" s="84" t="s">
        <v>17</v>
      </c>
      <c r="C11" s="71" t="s">
        <v>34</v>
      </c>
      <c r="D11" s="9">
        <v>1100</v>
      </c>
      <c r="E11" s="9">
        <v>1100</v>
      </c>
      <c r="F11" s="9">
        <v>2200</v>
      </c>
      <c r="G11" s="9">
        <v>3300</v>
      </c>
      <c r="H11" s="71" t="s">
        <v>34</v>
      </c>
      <c r="I11" s="11">
        <v>18</v>
      </c>
      <c r="L11" s="12"/>
    </row>
    <row r="12" spans="2:12" ht="14.25" customHeight="1" x14ac:dyDescent="0.3">
      <c r="B12" s="84" t="s">
        <v>18</v>
      </c>
      <c r="C12" s="9">
        <v>300</v>
      </c>
      <c r="D12" s="9">
        <v>300</v>
      </c>
      <c r="E12" s="71" t="s">
        <v>34</v>
      </c>
      <c r="F12" s="9">
        <v>450</v>
      </c>
      <c r="G12" s="71" t="s">
        <v>34</v>
      </c>
      <c r="H12" s="71">
        <v>150</v>
      </c>
      <c r="I12" s="11">
        <v>18</v>
      </c>
      <c r="L12" s="12"/>
    </row>
    <row r="13" spans="2:12" ht="14.25" customHeight="1" x14ac:dyDescent="0.3">
      <c r="B13" s="84" t="s">
        <v>19</v>
      </c>
      <c r="C13" s="71" t="s">
        <v>34</v>
      </c>
      <c r="D13" s="9">
        <v>1200</v>
      </c>
      <c r="E13" s="9">
        <v>800</v>
      </c>
      <c r="F13" s="71" t="s">
        <v>34</v>
      </c>
      <c r="G13" s="71" t="s">
        <v>34</v>
      </c>
      <c r="H13" s="9">
        <v>1200</v>
      </c>
      <c r="I13" s="11">
        <v>18</v>
      </c>
      <c r="L13" s="12"/>
    </row>
    <row r="14" spans="2:12" ht="14.25" customHeight="1" x14ac:dyDescent="0.3">
      <c r="B14" s="85" t="s">
        <v>278</v>
      </c>
      <c r="C14" s="9">
        <v>750</v>
      </c>
      <c r="D14" s="9">
        <v>1800</v>
      </c>
      <c r="E14" s="9">
        <v>1800</v>
      </c>
      <c r="F14" s="9">
        <v>750</v>
      </c>
      <c r="G14" s="9">
        <v>1800</v>
      </c>
      <c r="H14" s="71" t="s">
        <v>34</v>
      </c>
      <c r="I14" s="11">
        <v>25</v>
      </c>
      <c r="L14" s="12"/>
    </row>
    <row r="15" spans="2:12" ht="14.25" customHeight="1" x14ac:dyDescent="0.3">
      <c r="B15" s="86" t="s">
        <v>90</v>
      </c>
      <c r="C15" s="9">
        <v>900</v>
      </c>
      <c r="D15" s="9">
        <v>450</v>
      </c>
      <c r="E15" s="9">
        <v>900</v>
      </c>
      <c r="F15" s="9">
        <v>600</v>
      </c>
      <c r="G15" s="9">
        <v>450</v>
      </c>
      <c r="H15" s="9">
        <v>300</v>
      </c>
      <c r="I15" s="11">
        <v>25</v>
      </c>
      <c r="L15" s="12"/>
    </row>
    <row r="16" spans="2:12" ht="14.25" customHeight="1" x14ac:dyDescent="0.3">
      <c r="B16" s="84" t="s">
        <v>20</v>
      </c>
      <c r="C16" s="71" t="s">
        <v>34</v>
      </c>
      <c r="D16" s="71" t="s">
        <v>34</v>
      </c>
      <c r="E16" s="71" t="s">
        <v>34</v>
      </c>
      <c r="F16" s="71" t="s">
        <v>34</v>
      </c>
      <c r="G16" s="71" t="s">
        <v>34</v>
      </c>
      <c r="H16" s="71" t="s">
        <v>34</v>
      </c>
      <c r="I16" s="11">
        <v>25</v>
      </c>
      <c r="L16" s="12"/>
    </row>
    <row r="17" spans="2:12" ht="14.25" customHeight="1" x14ac:dyDescent="0.3">
      <c r="B17" s="84" t="s">
        <v>21</v>
      </c>
      <c r="C17" s="71" t="s">
        <v>34</v>
      </c>
      <c r="D17" s="71" t="s">
        <v>34</v>
      </c>
      <c r="E17" s="71" t="s">
        <v>34</v>
      </c>
      <c r="F17" s="71" t="s">
        <v>34</v>
      </c>
      <c r="G17" s="71" t="s">
        <v>34</v>
      </c>
      <c r="H17" s="71" t="s">
        <v>34</v>
      </c>
      <c r="I17" s="11">
        <v>25</v>
      </c>
      <c r="L17" s="12"/>
    </row>
    <row r="18" spans="2:12" ht="14.25" customHeight="1" x14ac:dyDescent="0.3">
      <c r="B18" s="83" t="s">
        <v>22</v>
      </c>
      <c r="C18" s="9"/>
      <c r="D18" s="9"/>
      <c r="E18" s="9"/>
      <c r="F18" s="9"/>
      <c r="G18" s="9"/>
      <c r="H18" s="9"/>
      <c r="I18" s="11"/>
      <c r="L18" s="5"/>
    </row>
    <row r="19" spans="2:12" ht="14.25" customHeight="1" x14ac:dyDescent="0.3">
      <c r="B19" s="84" t="s">
        <v>23</v>
      </c>
      <c r="C19" s="71" t="s">
        <v>34</v>
      </c>
      <c r="D19" s="71" t="s">
        <v>34</v>
      </c>
      <c r="E19" s="71" t="s">
        <v>34</v>
      </c>
      <c r="F19" s="71" t="s">
        <v>34</v>
      </c>
      <c r="G19" s="71" t="s">
        <v>34</v>
      </c>
      <c r="H19" s="71" t="s">
        <v>34</v>
      </c>
      <c r="I19" s="11">
        <v>7</v>
      </c>
      <c r="L19" s="12"/>
    </row>
    <row r="20" spans="2:12" ht="14.25" customHeight="1" x14ac:dyDescent="0.3">
      <c r="B20" s="84" t="s">
        <v>24</v>
      </c>
      <c r="C20" s="71" t="s">
        <v>34</v>
      </c>
      <c r="D20" s="71" t="s">
        <v>34</v>
      </c>
      <c r="E20" s="71" t="s">
        <v>34</v>
      </c>
      <c r="F20" s="71" t="s">
        <v>34</v>
      </c>
      <c r="G20" s="71" t="s">
        <v>34</v>
      </c>
      <c r="H20" s="71" t="s">
        <v>34</v>
      </c>
      <c r="I20" s="11">
        <v>18</v>
      </c>
      <c r="L20" s="12"/>
    </row>
    <row r="21" spans="2:12" ht="14.25" customHeight="1" x14ac:dyDescent="0.3">
      <c r="B21" s="87" t="s">
        <v>38</v>
      </c>
      <c r="C21" s="9"/>
      <c r="D21" s="9"/>
      <c r="E21" s="9"/>
      <c r="F21" s="9"/>
      <c r="G21" s="9"/>
      <c r="H21" s="9"/>
      <c r="I21" s="11">
        <v>18</v>
      </c>
    </row>
    <row r="22" spans="2:12" ht="19.5" customHeight="1" x14ac:dyDescent="0.3">
      <c r="B22" s="88" t="s">
        <v>25</v>
      </c>
      <c r="C22" s="14">
        <f t="shared" ref="C22:H22" si="1">SUM(C3:C21)</f>
        <v>77780</v>
      </c>
      <c r="D22" s="14">
        <f t="shared" si="1"/>
        <v>73893.31</v>
      </c>
      <c r="E22" s="14">
        <f t="shared" si="1"/>
        <v>72169.679999999993</v>
      </c>
      <c r="F22" s="14">
        <f t="shared" si="1"/>
        <v>69708.459999999992</v>
      </c>
      <c r="G22" s="14">
        <f t="shared" si="1"/>
        <v>71190.2</v>
      </c>
      <c r="H22" s="14">
        <f t="shared" si="1"/>
        <v>70524.149999999994</v>
      </c>
      <c r="I22" s="8"/>
    </row>
    <row r="23" spans="2:12" ht="14.25" customHeight="1" x14ac:dyDescent="0.3">
      <c r="B23" s="89"/>
      <c r="C23" s="90"/>
      <c r="D23" s="90"/>
      <c r="E23" s="90"/>
      <c r="F23" s="90"/>
      <c r="G23" s="90"/>
      <c r="H23" s="90"/>
      <c r="I23" s="15"/>
    </row>
    <row r="24" spans="2:12" ht="19.5" customHeight="1" x14ac:dyDescent="0.3">
      <c r="B24" s="135" t="s">
        <v>26</v>
      </c>
      <c r="C24" s="134"/>
      <c r="D24" s="134"/>
      <c r="E24" s="134"/>
      <c r="F24" s="134"/>
      <c r="G24" s="134"/>
      <c r="H24" s="134"/>
      <c r="I24" s="8"/>
    </row>
    <row r="25" spans="2:12" ht="14.25" customHeight="1" x14ac:dyDescent="0.3">
      <c r="B25" s="83" t="s">
        <v>27</v>
      </c>
      <c r="C25" s="16"/>
      <c r="D25" s="16"/>
      <c r="E25" s="16"/>
      <c r="F25" s="16"/>
      <c r="G25" s="16"/>
      <c r="H25" s="16"/>
      <c r="I25" s="10"/>
    </row>
    <row r="26" spans="2:12" ht="14.25" customHeight="1" x14ac:dyDescent="0.3">
      <c r="B26" s="84" t="s">
        <v>28</v>
      </c>
      <c r="C26" s="72">
        <v>1572.76</v>
      </c>
      <c r="D26" s="72">
        <v>2881.82</v>
      </c>
      <c r="E26" s="72">
        <v>2881.82</v>
      </c>
      <c r="F26" s="72">
        <v>2881.82</v>
      </c>
      <c r="G26" s="72">
        <v>2881.82</v>
      </c>
      <c r="H26" s="72">
        <v>2881.82</v>
      </c>
      <c r="I26" s="17">
        <v>7</v>
      </c>
    </row>
    <row r="27" spans="2:12" ht="14.25" customHeight="1" x14ac:dyDescent="0.3">
      <c r="B27" s="84" t="s">
        <v>29</v>
      </c>
      <c r="C27" s="72">
        <v>4000</v>
      </c>
      <c r="D27" s="72">
        <v>4000</v>
      </c>
      <c r="E27" s="72">
        <v>4000</v>
      </c>
      <c r="F27" s="72">
        <v>4000</v>
      </c>
      <c r="G27" s="72">
        <v>4000</v>
      </c>
      <c r="H27" s="72">
        <v>4000</v>
      </c>
      <c r="I27" s="17">
        <v>15</v>
      </c>
    </row>
    <row r="28" spans="2:12" ht="14.25" customHeight="1" x14ac:dyDescent="0.3">
      <c r="B28" s="84" t="s">
        <v>194</v>
      </c>
      <c r="C28" s="72">
        <v>440</v>
      </c>
      <c r="D28" s="72">
        <v>440</v>
      </c>
      <c r="E28" s="72">
        <v>440</v>
      </c>
      <c r="F28" s="72">
        <v>440</v>
      </c>
      <c r="G28" s="72">
        <v>440</v>
      </c>
      <c r="H28" s="72">
        <v>440</v>
      </c>
      <c r="I28" s="17">
        <v>20</v>
      </c>
    </row>
    <row r="29" spans="2:12" ht="14.25" customHeight="1" x14ac:dyDescent="0.3">
      <c r="B29" s="84" t="s">
        <v>347</v>
      </c>
      <c r="C29" s="72">
        <v>117.96</v>
      </c>
      <c r="D29" s="72">
        <v>226.09</v>
      </c>
      <c r="E29" s="72">
        <v>226.09</v>
      </c>
      <c r="F29" s="72">
        <v>226.09</v>
      </c>
      <c r="G29" s="72">
        <v>226.09</v>
      </c>
      <c r="H29" s="72">
        <v>226.09</v>
      </c>
      <c r="I29" s="17">
        <v>20</v>
      </c>
    </row>
    <row r="30" spans="2:12" ht="14.25" customHeight="1" x14ac:dyDescent="0.3">
      <c r="B30" s="84" t="s">
        <v>30</v>
      </c>
      <c r="C30" s="72">
        <v>125.82</v>
      </c>
      <c r="D30" s="72">
        <v>230.55</v>
      </c>
      <c r="E30" s="72">
        <v>230.55</v>
      </c>
      <c r="F30" s="72">
        <v>230.55</v>
      </c>
      <c r="G30" s="72">
        <v>230.55</v>
      </c>
      <c r="H30" s="72">
        <v>230.55</v>
      </c>
      <c r="I30" s="17">
        <v>7</v>
      </c>
    </row>
    <row r="31" spans="2:12" ht="14.25" customHeight="1" x14ac:dyDescent="0.3">
      <c r="B31" s="84" t="s">
        <v>31</v>
      </c>
      <c r="C31" s="72">
        <v>126.64</v>
      </c>
      <c r="D31" s="72">
        <v>191.09</v>
      </c>
      <c r="E31" s="72">
        <v>172.91</v>
      </c>
      <c r="F31" s="72">
        <v>204.09</v>
      </c>
      <c r="G31" s="72">
        <v>191.09</v>
      </c>
      <c r="H31" s="72">
        <v>165.09</v>
      </c>
      <c r="I31" s="17">
        <v>22</v>
      </c>
    </row>
    <row r="32" spans="2:12" ht="14.25" customHeight="1" x14ac:dyDescent="0.3">
      <c r="B32" s="84" t="s">
        <v>115</v>
      </c>
      <c r="C32" s="72">
        <v>324</v>
      </c>
      <c r="D32" s="72">
        <v>440</v>
      </c>
      <c r="E32" s="72">
        <v>440</v>
      </c>
      <c r="F32" s="72">
        <v>440</v>
      </c>
      <c r="G32" s="72">
        <v>440</v>
      </c>
      <c r="H32" s="72">
        <v>440</v>
      </c>
      <c r="I32" s="17">
        <v>28</v>
      </c>
    </row>
    <row r="33" spans="2:9" ht="14.25" customHeight="1" x14ac:dyDescent="0.3">
      <c r="B33" s="83" t="s">
        <v>32</v>
      </c>
      <c r="C33" s="72"/>
      <c r="D33" s="72"/>
      <c r="E33" s="72"/>
      <c r="F33" s="72"/>
      <c r="G33" s="72"/>
      <c r="H33" s="72"/>
      <c r="I33" s="17"/>
    </row>
    <row r="34" spans="2:9" ht="14.25" customHeight="1" x14ac:dyDescent="0.3">
      <c r="B34" s="84" t="s">
        <v>33</v>
      </c>
      <c r="C34" s="72" t="s">
        <v>34</v>
      </c>
      <c r="D34" s="72" t="s">
        <v>34</v>
      </c>
      <c r="E34" s="72" t="s">
        <v>34</v>
      </c>
      <c r="F34" s="72" t="s">
        <v>34</v>
      </c>
      <c r="G34" s="72" t="s">
        <v>34</v>
      </c>
      <c r="H34" s="72" t="s">
        <v>34</v>
      </c>
      <c r="I34" s="17" t="s">
        <v>34</v>
      </c>
    </row>
    <row r="35" spans="2:9" ht="14.25" customHeight="1" x14ac:dyDescent="0.3">
      <c r="B35" s="84" t="s">
        <v>35</v>
      </c>
      <c r="C35" s="72">
        <v>187.07</v>
      </c>
      <c r="D35" s="72">
        <v>185.19</v>
      </c>
      <c r="E35" s="72">
        <v>182.41</v>
      </c>
      <c r="F35" s="72">
        <v>187.88</v>
      </c>
      <c r="G35" s="72">
        <v>188.21</v>
      </c>
      <c r="H35" s="72">
        <v>189.15</v>
      </c>
      <c r="I35" s="17">
        <v>15</v>
      </c>
    </row>
    <row r="36" spans="2:9" ht="14.25" customHeight="1" x14ac:dyDescent="0.3">
      <c r="B36" s="84" t="s">
        <v>36</v>
      </c>
      <c r="C36" s="72">
        <v>148.22999999999999</v>
      </c>
      <c r="D36" s="72">
        <v>149.71</v>
      </c>
      <c r="E36" s="72">
        <v>147.46</v>
      </c>
      <c r="F36" s="72">
        <v>148.19</v>
      </c>
      <c r="G36" s="72">
        <v>146.41</v>
      </c>
      <c r="H36" s="72">
        <v>146.71</v>
      </c>
      <c r="I36" s="17">
        <v>20</v>
      </c>
    </row>
    <row r="37" spans="2:9" ht="14.25" customHeight="1" x14ac:dyDescent="0.3">
      <c r="B37" s="84" t="s">
        <v>37</v>
      </c>
      <c r="C37" s="72" t="s">
        <v>34</v>
      </c>
      <c r="D37" s="72">
        <v>139.97999999999999</v>
      </c>
      <c r="E37" s="72">
        <v>139.97999999999999</v>
      </c>
      <c r="F37" s="72">
        <v>139.97999999999999</v>
      </c>
      <c r="G37" s="72">
        <v>139.97999999999999</v>
      </c>
      <c r="H37" s="72">
        <v>139.97999999999999</v>
      </c>
      <c r="I37" s="17">
        <v>10</v>
      </c>
    </row>
    <row r="38" spans="2:9" ht="14.25" customHeight="1" x14ac:dyDescent="0.3">
      <c r="B38" s="84" t="s">
        <v>38</v>
      </c>
      <c r="C38" s="72" t="s">
        <v>34</v>
      </c>
      <c r="D38" s="72" t="s">
        <v>34</v>
      </c>
      <c r="E38" s="72" t="s">
        <v>34</v>
      </c>
      <c r="F38" s="72" t="s">
        <v>34</v>
      </c>
      <c r="G38" s="72" t="s">
        <v>34</v>
      </c>
      <c r="H38" s="72" t="s">
        <v>34</v>
      </c>
      <c r="I38" s="17">
        <v>10</v>
      </c>
    </row>
    <row r="39" spans="2:9" ht="14.25" customHeight="1" x14ac:dyDescent="0.3">
      <c r="B39" s="83" t="s">
        <v>39</v>
      </c>
      <c r="C39" s="72"/>
      <c r="D39" s="72"/>
      <c r="E39" s="72"/>
      <c r="F39" s="72"/>
      <c r="G39" s="72"/>
      <c r="H39" s="72"/>
      <c r="I39" s="17"/>
    </row>
    <row r="40" spans="2:9" ht="14.25" customHeight="1" x14ac:dyDescent="0.3">
      <c r="B40" s="84" t="s">
        <v>40</v>
      </c>
      <c r="C40" s="72" t="s">
        <v>34</v>
      </c>
      <c r="D40" s="72">
        <v>295</v>
      </c>
      <c r="E40" s="72">
        <v>295</v>
      </c>
      <c r="F40" s="72">
        <v>295</v>
      </c>
      <c r="G40" s="72">
        <v>295</v>
      </c>
      <c r="H40" s="72">
        <v>295</v>
      </c>
      <c r="I40" s="17">
        <v>15</v>
      </c>
    </row>
    <row r="41" spans="2:9" ht="14.25" customHeight="1" x14ac:dyDescent="0.3">
      <c r="B41" s="84" t="s">
        <v>41</v>
      </c>
      <c r="C41" s="72" t="s">
        <v>34</v>
      </c>
      <c r="D41" s="72" t="s">
        <v>34</v>
      </c>
      <c r="E41" s="72" t="s">
        <v>34</v>
      </c>
      <c r="F41" s="72" t="s">
        <v>34</v>
      </c>
      <c r="G41" s="72" t="s">
        <v>34</v>
      </c>
      <c r="H41" s="72" t="s">
        <v>34</v>
      </c>
      <c r="I41" s="17">
        <v>15</v>
      </c>
    </row>
    <row r="42" spans="2:9" ht="14.25" customHeight="1" x14ac:dyDescent="0.3">
      <c r="B42" s="84" t="s">
        <v>42</v>
      </c>
      <c r="C42" s="72" t="s">
        <v>34</v>
      </c>
      <c r="D42" s="72" t="s">
        <v>34</v>
      </c>
      <c r="E42" s="72" t="s">
        <v>34</v>
      </c>
      <c r="F42" s="72" t="s">
        <v>34</v>
      </c>
      <c r="G42" s="72" t="s">
        <v>34</v>
      </c>
      <c r="H42" s="72" t="s">
        <v>34</v>
      </c>
      <c r="I42" s="17">
        <v>15</v>
      </c>
    </row>
    <row r="43" spans="2:9" ht="14.25" customHeight="1" x14ac:dyDescent="0.3">
      <c r="B43" s="84" t="s">
        <v>43</v>
      </c>
      <c r="C43" s="72" t="s">
        <v>34</v>
      </c>
      <c r="D43" s="72" t="s">
        <v>34</v>
      </c>
      <c r="E43" s="72" t="s">
        <v>34</v>
      </c>
      <c r="F43" s="72" t="s">
        <v>34</v>
      </c>
      <c r="G43" s="72" t="s">
        <v>34</v>
      </c>
      <c r="H43" s="72" t="s">
        <v>34</v>
      </c>
      <c r="I43" s="17">
        <v>15</v>
      </c>
    </row>
    <row r="44" spans="2:9" ht="14.25" customHeight="1" x14ac:dyDescent="0.3">
      <c r="B44" s="83" t="s">
        <v>44</v>
      </c>
      <c r="C44" s="9"/>
      <c r="D44" s="9"/>
      <c r="E44" s="9"/>
      <c r="F44" s="9"/>
      <c r="G44" s="9"/>
      <c r="H44" s="9"/>
      <c r="I44" s="17"/>
    </row>
    <row r="45" spans="2:9" ht="14.25" customHeight="1" x14ac:dyDescent="0.3">
      <c r="B45" s="84" t="s">
        <v>45</v>
      </c>
      <c r="C45" s="9" t="s">
        <v>34</v>
      </c>
      <c r="D45" s="9">
        <v>600</v>
      </c>
      <c r="E45" s="9">
        <v>600</v>
      </c>
      <c r="F45" s="9">
        <v>600</v>
      </c>
      <c r="G45" s="9">
        <v>600</v>
      </c>
      <c r="H45" s="9">
        <v>600</v>
      </c>
      <c r="I45" s="17">
        <v>20</v>
      </c>
    </row>
    <row r="46" spans="2:9" ht="14.25" customHeight="1" x14ac:dyDescent="0.3">
      <c r="B46" s="84" t="s">
        <v>46</v>
      </c>
      <c r="C46" s="9">
        <v>290</v>
      </c>
      <c r="D46" s="9">
        <v>290</v>
      </c>
      <c r="E46" s="9">
        <v>290</v>
      </c>
      <c r="F46" s="9">
        <v>290</v>
      </c>
      <c r="G46" s="9">
        <v>290</v>
      </c>
      <c r="H46" s="9">
        <v>290</v>
      </c>
      <c r="I46" s="17">
        <v>26</v>
      </c>
    </row>
    <row r="47" spans="2:9" ht="14.25" customHeight="1" x14ac:dyDescent="0.3">
      <c r="B47" s="84" t="s">
        <v>47</v>
      </c>
      <c r="C47" s="9">
        <v>128.56</v>
      </c>
      <c r="D47" s="9" t="s">
        <v>34</v>
      </c>
      <c r="E47" s="9" t="s">
        <v>34</v>
      </c>
      <c r="F47" s="9" t="s">
        <v>34</v>
      </c>
      <c r="G47" s="9" t="s">
        <v>34</v>
      </c>
      <c r="H47" s="9" t="s">
        <v>34</v>
      </c>
      <c r="I47" s="17">
        <v>6</v>
      </c>
    </row>
    <row r="48" spans="2:9" ht="14.25" customHeight="1" x14ac:dyDescent="0.3">
      <c r="B48" s="83" t="s">
        <v>48</v>
      </c>
      <c r="C48" s="9"/>
      <c r="D48" s="9"/>
      <c r="E48" s="9"/>
      <c r="F48" s="9"/>
      <c r="G48" s="9"/>
      <c r="H48" s="9"/>
      <c r="I48" s="17"/>
    </row>
    <row r="49" spans="2:9" ht="14.25" customHeight="1" x14ac:dyDescent="0.3">
      <c r="B49" s="84" t="s">
        <v>49</v>
      </c>
      <c r="C49" s="9">
        <v>627.29999999999995</v>
      </c>
      <c r="D49" s="9" t="s">
        <v>34</v>
      </c>
      <c r="E49" s="9" t="s">
        <v>34</v>
      </c>
      <c r="F49" s="9" t="s">
        <v>34</v>
      </c>
      <c r="G49" s="9" t="s">
        <v>34</v>
      </c>
      <c r="H49" s="9" t="s">
        <v>34</v>
      </c>
      <c r="I49" s="17">
        <v>30</v>
      </c>
    </row>
    <row r="50" spans="2:9" ht="14.25" customHeight="1" x14ac:dyDescent="0.3">
      <c r="B50" s="84" t="s">
        <v>50</v>
      </c>
      <c r="C50" s="9">
        <v>550</v>
      </c>
      <c r="D50" s="9" t="s">
        <v>34</v>
      </c>
      <c r="E50" s="9" t="s">
        <v>34</v>
      </c>
      <c r="F50" s="9" t="s">
        <v>34</v>
      </c>
      <c r="G50" s="9" t="s">
        <v>34</v>
      </c>
      <c r="H50" s="9" t="s">
        <v>34</v>
      </c>
      <c r="I50" s="17">
        <v>13</v>
      </c>
    </row>
    <row r="51" spans="2:9" ht="14.25" customHeight="1" x14ac:dyDescent="0.3">
      <c r="B51" s="91" t="s">
        <v>38</v>
      </c>
      <c r="C51" s="9" t="s">
        <v>34</v>
      </c>
      <c r="D51" s="9" t="s">
        <v>34</v>
      </c>
      <c r="E51" s="9" t="s">
        <v>34</v>
      </c>
      <c r="F51" s="9" t="s">
        <v>34</v>
      </c>
      <c r="G51" s="9" t="s">
        <v>34</v>
      </c>
      <c r="H51" s="9" t="s">
        <v>34</v>
      </c>
      <c r="I51" s="17">
        <v>13</v>
      </c>
    </row>
    <row r="52" spans="2:9" ht="14.25" customHeight="1" x14ac:dyDescent="0.3">
      <c r="B52" s="92" t="s">
        <v>51</v>
      </c>
      <c r="C52" s="9" t="s">
        <v>34</v>
      </c>
      <c r="D52" s="9" t="s">
        <v>34</v>
      </c>
      <c r="E52" s="9" t="s">
        <v>34</v>
      </c>
      <c r="F52" s="9" t="s">
        <v>34</v>
      </c>
      <c r="G52" s="9" t="s">
        <v>34</v>
      </c>
      <c r="H52" s="9" t="s">
        <v>34</v>
      </c>
      <c r="I52" s="17"/>
    </row>
    <row r="53" spans="2:9" ht="14.25" customHeight="1" x14ac:dyDescent="0.3">
      <c r="B53" s="84" t="s">
        <v>52</v>
      </c>
      <c r="C53" s="9">
        <v>131.06</v>
      </c>
      <c r="D53" s="9">
        <v>240.15</v>
      </c>
      <c r="E53" s="9">
        <v>240.15</v>
      </c>
      <c r="F53" s="9">
        <v>240.15</v>
      </c>
      <c r="G53" s="9">
        <v>240.15</v>
      </c>
      <c r="H53" s="9">
        <v>240.15</v>
      </c>
      <c r="I53" s="17">
        <v>7</v>
      </c>
    </row>
    <row r="54" spans="2:9" ht="14.25" customHeight="1" x14ac:dyDescent="0.3">
      <c r="B54" s="84" t="s">
        <v>167</v>
      </c>
      <c r="C54" s="9">
        <v>174.74</v>
      </c>
      <c r="D54" s="9">
        <v>320.19</v>
      </c>
      <c r="E54" s="9">
        <v>320.19</v>
      </c>
      <c r="F54" s="9">
        <v>320.19</v>
      </c>
      <c r="G54" s="9">
        <v>320.19</v>
      </c>
      <c r="H54" s="9">
        <v>320.19</v>
      </c>
      <c r="I54" s="17">
        <v>7</v>
      </c>
    </row>
    <row r="55" spans="2:9" ht="14.25" customHeight="1" x14ac:dyDescent="0.3">
      <c r="B55" s="84" t="s">
        <v>53</v>
      </c>
      <c r="C55" s="9">
        <v>24.46</v>
      </c>
      <c r="D55" s="9">
        <v>44.82</v>
      </c>
      <c r="E55" s="9">
        <v>44.82</v>
      </c>
      <c r="F55" s="9">
        <v>44.82</v>
      </c>
      <c r="G55" s="9">
        <v>44.82</v>
      </c>
      <c r="H55" s="9">
        <v>44.82</v>
      </c>
      <c r="I55" s="17">
        <v>7</v>
      </c>
    </row>
    <row r="56" spans="2:9" ht="19.5" customHeight="1" x14ac:dyDescent="0.3">
      <c r="B56" s="93" t="s">
        <v>25</v>
      </c>
      <c r="C56" s="18">
        <f t="shared" ref="C56:H56" si="2">SUM(C25:C55)</f>
        <v>8968.5999999999985</v>
      </c>
      <c r="D56" s="18">
        <f t="shared" si="2"/>
        <v>10674.589999999998</v>
      </c>
      <c r="E56" s="18">
        <f t="shared" si="2"/>
        <v>10651.379999999997</v>
      </c>
      <c r="F56" s="18">
        <f t="shared" si="2"/>
        <v>10688.759999999998</v>
      </c>
      <c r="G56" s="18">
        <f t="shared" si="2"/>
        <v>10674.309999999998</v>
      </c>
      <c r="H56" s="18">
        <f t="shared" si="2"/>
        <v>10649.549999999997</v>
      </c>
      <c r="I56" s="8"/>
    </row>
    <row r="57" spans="2:9" ht="14.25" customHeight="1" x14ac:dyDescent="0.3">
      <c r="B57" s="94"/>
      <c r="C57" s="76"/>
      <c r="D57" s="76"/>
      <c r="E57" s="76"/>
      <c r="F57" s="76"/>
      <c r="G57" s="76"/>
      <c r="H57" s="76"/>
      <c r="I57" s="15"/>
    </row>
    <row r="58" spans="2:9" ht="19.5" customHeight="1" x14ac:dyDescent="0.3">
      <c r="B58" s="136" t="s">
        <v>54</v>
      </c>
      <c r="C58" s="134"/>
      <c r="D58" s="134"/>
      <c r="E58" s="134"/>
      <c r="F58" s="134"/>
      <c r="G58" s="134"/>
      <c r="H58" s="134"/>
      <c r="I58" s="8"/>
    </row>
    <row r="59" spans="2:9" ht="14.25" customHeight="1" x14ac:dyDescent="0.3">
      <c r="B59" s="83" t="s">
        <v>55</v>
      </c>
      <c r="C59" s="9"/>
      <c r="D59" s="9"/>
      <c r="E59" s="9"/>
      <c r="F59" s="9"/>
      <c r="G59" s="9"/>
      <c r="H59" s="9"/>
      <c r="I59" s="19"/>
    </row>
    <row r="60" spans="2:9" ht="14.25" customHeight="1" x14ac:dyDescent="0.3">
      <c r="B60" s="84" t="s">
        <v>56</v>
      </c>
      <c r="C60" s="9">
        <v>120</v>
      </c>
      <c r="D60" s="9">
        <v>122.51</v>
      </c>
      <c r="E60" s="9">
        <v>134.94999999999999</v>
      </c>
      <c r="F60" s="9">
        <v>132.97</v>
      </c>
      <c r="G60" s="9">
        <v>128.97</v>
      </c>
      <c r="H60" s="9">
        <v>125.32</v>
      </c>
      <c r="I60" s="17">
        <v>7</v>
      </c>
    </row>
    <row r="61" spans="2:9" ht="14.25" customHeight="1" x14ac:dyDescent="0.3">
      <c r="B61" s="84" t="s">
        <v>57</v>
      </c>
      <c r="C61" s="9">
        <v>212</v>
      </c>
      <c r="D61" s="9" t="s">
        <v>34</v>
      </c>
      <c r="E61" s="9">
        <v>218.36</v>
      </c>
      <c r="F61" s="9" t="s">
        <v>34</v>
      </c>
      <c r="G61" s="9">
        <v>216.24</v>
      </c>
      <c r="H61" s="9" t="s">
        <v>34</v>
      </c>
      <c r="I61" s="17">
        <v>10</v>
      </c>
    </row>
    <row r="62" spans="2:9" ht="14.25" customHeight="1" x14ac:dyDescent="0.3">
      <c r="B62" s="84" t="s">
        <v>58</v>
      </c>
      <c r="C62" s="9">
        <v>250</v>
      </c>
      <c r="D62" s="9">
        <v>300</v>
      </c>
      <c r="E62" s="9">
        <v>180</v>
      </c>
      <c r="F62" s="9">
        <v>200</v>
      </c>
      <c r="G62" s="9">
        <v>200</v>
      </c>
      <c r="H62" s="9">
        <v>200</v>
      </c>
      <c r="I62" s="17">
        <v>7</v>
      </c>
    </row>
    <row r="63" spans="2:9" ht="14.25" customHeight="1" x14ac:dyDescent="0.3">
      <c r="B63" s="84" t="s">
        <v>59</v>
      </c>
      <c r="C63" s="9" t="s">
        <v>34</v>
      </c>
      <c r="D63" s="9" t="s">
        <v>34</v>
      </c>
      <c r="E63" s="9">
        <v>2200</v>
      </c>
      <c r="F63" s="9" t="s">
        <v>34</v>
      </c>
      <c r="G63" s="9" t="s">
        <v>34</v>
      </c>
      <c r="H63" s="9">
        <v>2200</v>
      </c>
      <c r="I63" s="17">
        <v>30</v>
      </c>
    </row>
    <row r="64" spans="2:9" ht="14.25" customHeight="1" x14ac:dyDescent="0.3">
      <c r="B64" s="83" t="s">
        <v>60</v>
      </c>
      <c r="C64" s="9"/>
      <c r="D64" s="9"/>
      <c r="E64" s="9"/>
      <c r="F64" s="9"/>
      <c r="G64" s="9"/>
      <c r="H64" s="9"/>
      <c r="I64" s="17"/>
    </row>
    <row r="65" spans="2:9" ht="14.25" customHeight="1" x14ac:dyDescent="0.3">
      <c r="B65" s="84" t="s">
        <v>61</v>
      </c>
      <c r="C65" s="9">
        <v>243.56</v>
      </c>
      <c r="D65" s="9" t="s">
        <v>34</v>
      </c>
      <c r="E65" s="9" t="s">
        <v>34</v>
      </c>
      <c r="F65" s="9" t="s">
        <v>34</v>
      </c>
      <c r="G65" s="9" t="s">
        <v>34</v>
      </c>
      <c r="H65" s="9" t="s">
        <v>34</v>
      </c>
      <c r="I65" s="17">
        <v>6</v>
      </c>
    </row>
    <row r="66" spans="2:9" ht="14.25" customHeight="1" x14ac:dyDescent="0.3">
      <c r="B66" s="84" t="s">
        <v>62</v>
      </c>
      <c r="C66" s="9">
        <v>358</v>
      </c>
      <c r="D66" s="9" t="s">
        <v>34</v>
      </c>
      <c r="E66" s="9" t="s">
        <v>34</v>
      </c>
      <c r="F66" s="9" t="s">
        <v>34</v>
      </c>
      <c r="G66" s="9" t="s">
        <v>34</v>
      </c>
      <c r="H66" s="9" t="s">
        <v>34</v>
      </c>
      <c r="I66" s="17">
        <v>6</v>
      </c>
    </row>
    <row r="67" spans="2:9" ht="14.25" customHeight="1" x14ac:dyDescent="0.3">
      <c r="B67" s="84" t="s">
        <v>63</v>
      </c>
      <c r="C67" s="9">
        <v>288</v>
      </c>
      <c r="D67" s="9" t="s">
        <v>34</v>
      </c>
      <c r="E67" s="9" t="s">
        <v>34</v>
      </c>
      <c r="F67" s="9" t="s">
        <v>34</v>
      </c>
      <c r="G67" s="9" t="s">
        <v>34</v>
      </c>
      <c r="H67" s="9" t="s">
        <v>34</v>
      </c>
      <c r="I67" s="17">
        <v>6</v>
      </c>
    </row>
    <row r="68" spans="2:9" ht="14.25" customHeight="1" x14ac:dyDescent="0.3">
      <c r="B68" s="84" t="s">
        <v>64</v>
      </c>
      <c r="C68" s="9" t="s">
        <v>34</v>
      </c>
      <c r="D68" s="9" t="s">
        <v>34</v>
      </c>
      <c r="E68" s="9" t="s">
        <v>34</v>
      </c>
      <c r="F68" s="9" t="s">
        <v>34</v>
      </c>
      <c r="G68" s="9" t="s">
        <v>34</v>
      </c>
      <c r="H68" s="9" t="s">
        <v>34</v>
      </c>
      <c r="I68" s="17">
        <v>6</v>
      </c>
    </row>
    <row r="69" spans="2:9" ht="14.25" customHeight="1" x14ac:dyDescent="0.3">
      <c r="B69" s="84" t="s">
        <v>65</v>
      </c>
      <c r="C69" s="9" t="s">
        <v>34</v>
      </c>
      <c r="D69" s="9" t="s">
        <v>34</v>
      </c>
      <c r="E69" s="9" t="s">
        <v>34</v>
      </c>
      <c r="F69" s="9" t="s">
        <v>34</v>
      </c>
      <c r="G69" s="9" t="s">
        <v>34</v>
      </c>
      <c r="H69" s="9" t="s">
        <v>34</v>
      </c>
      <c r="I69" s="17">
        <v>10</v>
      </c>
    </row>
    <row r="70" spans="2:9" ht="14.25" customHeight="1" x14ac:dyDescent="0.3">
      <c r="B70" s="92" t="s">
        <v>66</v>
      </c>
      <c r="C70" s="9"/>
      <c r="D70" s="9"/>
      <c r="E70" s="9"/>
      <c r="F70" s="9"/>
      <c r="G70" s="9"/>
      <c r="H70" s="9"/>
      <c r="I70" s="17"/>
    </row>
    <row r="71" spans="2:9" ht="14.25" customHeight="1" x14ac:dyDescent="0.3">
      <c r="B71" s="84" t="s">
        <v>67</v>
      </c>
      <c r="C71" s="9">
        <v>553.20000000000005</v>
      </c>
      <c r="D71" s="9">
        <v>553.20000000000005</v>
      </c>
      <c r="E71" s="9">
        <v>553.20000000000005</v>
      </c>
      <c r="F71" s="9">
        <v>553.20000000000005</v>
      </c>
      <c r="G71" s="9">
        <v>553.20000000000005</v>
      </c>
      <c r="H71" s="9">
        <v>553.20000000000005</v>
      </c>
      <c r="I71" s="17">
        <v>9</v>
      </c>
    </row>
    <row r="72" spans="2:9" ht="14.25" customHeight="1" x14ac:dyDescent="0.3">
      <c r="B72" s="84" t="s">
        <v>68</v>
      </c>
      <c r="C72" s="9">
        <v>403.33</v>
      </c>
      <c r="D72" s="9">
        <v>403.33</v>
      </c>
      <c r="E72" s="9">
        <v>403.33</v>
      </c>
      <c r="F72" s="9">
        <v>403.33</v>
      </c>
      <c r="G72" s="9">
        <v>403.33</v>
      </c>
      <c r="H72" s="9">
        <v>403.33</v>
      </c>
      <c r="I72" s="17">
        <v>10</v>
      </c>
    </row>
    <row r="73" spans="2:9" ht="14.25" customHeight="1" x14ac:dyDescent="0.3">
      <c r="B73" s="84" t="s">
        <v>69</v>
      </c>
      <c r="C73" s="9">
        <v>2500</v>
      </c>
      <c r="D73" s="9" t="s">
        <v>34</v>
      </c>
      <c r="E73" s="9" t="s">
        <v>34</v>
      </c>
      <c r="F73" s="9" t="s">
        <v>34</v>
      </c>
      <c r="G73" s="9" t="s">
        <v>34</v>
      </c>
      <c r="H73" s="9" t="s">
        <v>34</v>
      </c>
      <c r="I73" s="17">
        <v>30</v>
      </c>
    </row>
    <row r="74" spans="2:9" ht="14.25" customHeight="1" x14ac:dyDescent="0.3">
      <c r="B74" s="84" t="s">
        <v>70</v>
      </c>
      <c r="C74" s="9" t="s">
        <v>34</v>
      </c>
      <c r="D74" s="9" t="s">
        <v>34</v>
      </c>
      <c r="E74" s="9" t="s">
        <v>34</v>
      </c>
      <c r="F74" s="9" t="s">
        <v>34</v>
      </c>
      <c r="G74" s="9" t="s">
        <v>34</v>
      </c>
      <c r="H74" s="9">
        <v>1260</v>
      </c>
      <c r="I74" s="17">
        <v>30</v>
      </c>
    </row>
    <row r="75" spans="2:9" ht="14.25" customHeight="1" x14ac:dyDescent="0.3">
      <c r="B75" s="87" t="s">
        <v>38</v>
      </c>
      <c r="C75" s="9" t="s">
        <v>34</v>
      </c>
      <c r="D75" s="9" t="s">
        <v>34</v>
      </c>
      <c r="E75" s="9" t="s">
        <v>34</v>
      </c>
      <c r="F75" s="9" t="s">
        <v>34</v>
      </c>
      <c r="G75" s="9" t="s">
        <v>34</v>
      </c>
      <c r="H75" s="9" t="s">
        <v>34</v>
      </c>
      <c r="I75" s="17">
        <v>30</v>
      </c>
    </row>
    <row r="76" spans="2:9" ht="19.5" customHeight="1" x14ac:dyDescent="0.3">
      <c r="B76" s="95" t="s">
        <v>25</v>
      </c>
      <c r="C76" s="20">
        <f>SUM(C59:C75)</f>
        <v>4928.09</v>
      </c>
      <c r="D76" s="20">
        <f t="shared" ref="D76:H76" si="3">SUM(D59:D75)</f>
        <v>1379.04</v>
      </c>
      <c r="E76" s="20">
        <f t="shared" si="3"/>
        <v>3689.84</v>
      </c>
      <c r="F76" s="20">
        <f t="shared" si="3"/>
        <v>1289.5</v>
      </c>
      <c r="G76" s="20">
        <f t="shared" si="3"/>
        <v>1501.74</v>
      </c>
      <c r="H76" s="20">
        <f t="shared" si="3"/>
        <v>4741.8500000000004</v>
      </c>
      <c r="I76" s="8"/>
    </row>
    <row r="77" spans="2:9" ht="14.25" customHeight="1" x14ac:dyDescent="0.3"/>
    <row r="78" spans="2:9" ht="19.5" customHeight="1" x14ac:dyDescent="0.3">
      <c r="B78" s="137" t="s">
        <v>25</v>
      </c>
      <c r="C78" s="134"/>
      <c r="D78" s="134"/>
      <c r="E78" s="134"/>
      <c r="F78" s="134"/>
      <c r="G78" s="134"/>
      <c r="H78" s="134"/>
    </row>
    <row r="79" spans="2:9" ht="14.25" customHeight="1" x14ac:dyDescent="0.3">
      <c r="B79" s="21" t="s">
        <v>71</v>
      </c>
      <c r="C79" s="22">
        <f t="shared" ref="C79:H79" si="4">C22</f>
        <v>77780</v>
      </c>
      <c r="D79" s="22">
        <f t="shared" si="4"/>
        <v>73893.31</v>
      </c>
      <c r="E79" s="22">
        <f t="shared" si="4"/>
        <v>72169.679999999993</v>
      </c>
      <c r="F79" s="22">
        <f t="shared" si="4"/>
        <v>69708.459999999992</v>
      </c>
      <c r="G79" s="22">
        <f t="shared" si="4"/>
        <v>71190.2</v>
      </c>
      <c r="H79" s="22">
        <f t="shared" si="4"/>
        <v>70524.149999999994</v>
      </c>
    </row>
    <row r="80" spans="2:9" ht="14.25" customHeight="1" x14ac:dyDescent="0.3">
      <c r="B80" s="21" t="s">
        <v>279</v>
      </c>
      <c r="C80" s="22">
        <f t="shared" ref="C80:H80" si="5">C56</f>
        <v>8968.5999999999985</v>
      </c>
      <c r="D80" s="22">
        <f t="shared" si="5"/>
        <v>10674.589999999998</v>
      </c>
      <c r="E80" s="22">
        <f t="shared" si="5"/>
        <v>10651.379999999997</v>
      </c>
      <c r="F80" s="22">
        <f t="shared" si="5"/>
        <v>10688.759999999998</v>
      </c>
      <c r="G80" s="22">
        <f t="shared" si="5"/>
        <v>10674.309999999998</v>
      </c>
      <c r="H80" s="22">
        <f t="shared" si="5"/>
        <v>10649.549999999997</v>
      </c>
    </row>
    <row r="81" spans="2:9" ht="14.25" customHeight="1" x14ac:dyDescent="0.3">
      <c r="B81" s="21" t="s">
        <v>280</v>
      </c>
      <c r="C81" s="22">
        <f t="shared" ref="C81:H81" si="6">C76</f>
        <v>4928.09</v>
      </c>
      <c r="D81" s="22">
        <f t="shared" si="6"/>
        <v>1379.04</v>
      </c>
      <c r="E81" s="22">
        <f t="shared" si="6"/>
        <v>3689.84</v>
      </c>
      <c r="F81" s="22">
        <f t="shared" si="6"/>
        <v>1289.5</v>
      </c>
      <c r="G81" s="22">
        <f t="shared" si="6"/>
        <v>1501.74</v>
      </c>
      <c r="H81" s="22">
        <f t="shared" si="6"/>
        <v>4741.8500000000004</v>
      </c>
    </row>
    <row r="82" spans="2:9" ht="30" customHeight="1" x14ac:dyDescent="0.3">
      <c r="B82" s="13" t="s">
        <v>72</v>
      </c>
      <c r="C82" s="73">
        <f>C79-SUM(C80:C81)</f>
        <v>63883.31</v>
      </c>
      <c r="D82" s="74">
        <f t="shared" ref="D82:H82" si="7">D79-SUM(D80:D81)</f>
        <v>61839.68</v>
      </c>
      <c r="E82" s="23">
        <f t="shared" si="7"/>
        <v>57828.459999999992</v>
      </c>
      <c r="F82" s="23">
        <f t="shared" si="7"/>
        <v>57730.2</v>
      </c>
      <c r="G82" s="23">
        <f t="shared" si="7"/>
        <v>59014.15</v>
      </c>
      <c r="H82" s="23">
        <f t="shared" si="7"/>
        <v>55132.75</v>
      </c>
    </row>
    <row r="83" spans="2:9" ht="30" customHeight="1" x14ac:dyDescent="0.3">
      <c r="B83" s="24" t="s">
        <v>73</v>
      </c>
      <c r="C83" s="25">
        <f>C82</f>
        <v>63883.31</v>
      </c>
      <c r="D83" s="25">
        <f t="shared" ref="D83:H83" si="8">D82+C83</f>
        <v>125722.98999999999</v>
      </c>
      <c r="E83" s="25">
        <f t="shared" si="8"/>
        <v>183551.44999999998</v>
      </c>
      <c r="F83" s="25">
        <f t="shared" si="8"/>
        <v>241281.64999999997</v>
      </c>
      <c r="G83" s="25">
        <f t="shared" si="8"/>
        <v>300295.8</v>
      </c>
      <c r="H83" s="25">
        <f t="shared" si="8"/>
        <v>355428.55</v>
      </c>
    </row>
    <row r="84" spans="2:9" ht="14.25" customHeight="1" x14ac:dyDescent="0.3">
      <c r="I84" s="43"/>
    </row>
    <row r="85" spans="2:9" ht="14.25" customHeight="1" x14ac:dyDescent="0.3">
      <c r="B85" s="75" t="s">
        <v>74</v>
      </c>
      <c r="C85" s="46">
        <f t="shared" ref="C85:H85" si="9">C80+C81</f>
        <v>13896.689999999999</v>
      </c>
      <c r="D85" s="46">
        <f t="shared" si="9"/>
        <v>12053.629999999997</v>
      </c>
      <c r="E85" s="46">
        <f t="shared" si="9"/>
        <v>14341.219999999998</v>
      </c>
      <c r="F85" s="46">
        <f t="shared" si="9"/>
        <v>11978.259999999998</v>
      </c>
      <c r="G85" s="46">
        <f t="shared" si="9"/>
        <v>12176.049999999997</v>
      </c>
      <c r="H85" s="46">
        <f t="shared" si="9"/>
        <v>15391.399999999998</v>
      </c>
    </row>
    <row r="86" spans="2:9" ht="14.25" customHeight="1" x14ac:dyDescent="0.3"/>
    <row r="87" spans="2:9" ht="14.25" customHeight="1" x14ac:dyDescent="0.3"/>
    <row r="88" spans="2:9" ht="14.25" customHeight="1" x14ac:dyDescent="0.3">
      <c r="D88" s="43"/>
      <c r="E88" s="43"/>
      <c r="F88" s="43"/>
    </row>
    <row r="89" spans="2:9" ht="14.25" customHeight="1" x14ac:dyDescent="0.3"/>
    <row r="90" spans="2:9" ht="14.25" customHeight="1" x14ac:dyDescent="0.3"/>
    <row r="91" spans="2:9" ht="14.25" customHeight="1" x14ac:dyDescent="0.3"/>
    <row r="92" spans="2:9" ht="14.25" customHeight="1" x14ac:dyDescent="0.3"/>
    <row r="93" spans="2:9" ht="14.25" customHeight="1" x14ac:dyDescent="0.3"/>
    <row r="94" spans="2:9" ht="14.25" customHeight="1" x14ac:dyDescent="0.3"/>
    <row r="95" spans="2:9" ht="14.25" customHeight="1" x14ac:dyDescent="0.3"/>
    <row r="96" spans="2:9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spans="132:132" ht="14.25" customHeight="1" x14ac:dyDescent="0.3"/>
    <row r="194" spans="132:132" ht="14.25" customHeight="1" x14ac:dyDescent="0.3"/>
    <row r="195" spans="132:132" ht="14.25" customHeight="1" x14ac:dyDescent="0.3"/>
    <row r="196" spans="132:132" ht="14.25" customHeight="1" x14ac:dyDescent="0.3"/>
    <row r="197" spans="132:132" ht="14.25" customHeight="1" x14ac:dyDescent="0.3"/>
    <row r="198" spans="132:132" ht="14.25" customHeight="1" x14ac:dyDescent="0.3"/>
    <row r="199" spans="132:132" ht="14.25" customHeight="1" x14ac:dyDescent="0.3"/>
    <row r="200" spans="132:132" ht="14.25" customHeight="1" x14ac:dyDescent="0.3"/>
    <row r="201" spans="132:132" ht="14.25" customHeight="1" x14ac:dyDescent="0.3"/>
    <row r="202" spans="132:132" ht="14.25" customHeight="1" x14ac:dyDescent="0.3"/>
    <row r="203" spans="132:132" ht="14.25" customHeight="1" x14ac:dyDescent="0.3"/>
    <row r="204" spans="132:132" ht="14.25" customHeight="1" x14ac:dyDescent="0.3"/>
    <row r="205" spans="132:132" ht="14.25" customHeight="1" x14ac:dyDescent="0.3"/>
    <row r="206" spans="132:132" ht="14.25" customHeight="1" x14ac:dyDescent="0.3">
      <c r="EB206" s="27" t="s">
        <v>75</v>
      </c>
    </row>
  </sheetData>
  <mergeCells count="4">
    <mergeCell ref="B4:H4"/>
    <mergeCell ref="B24:H24"/>
    <mergeCell ref="B58:H58"/>
    <mergeCell ref="B78:H78"/>
  </mergeCells>
  <conditionalFormatting sqref="C82:H8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" footer="0"/>
  <pageSetup paperSize="9"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CC1458CC37B0444BA56125A6038E995" ma:contentTypeVersion="3" ma:contentTypeDescription="Crie um novo documento." ma:contentTypeScope="" ma:versionID="e6bb0adb1c29ddeba0a18117c6f399e4">
  <xsd:schema xmlns:xsd="http://www.w3.org/2001/XMLSchema" xmlns:xs="http://www.w3.org/2001/XMLSchema" xmlns:p="http://schemas.microsoft.com/office/2006/metadata/properties" xmlns:ns2="b7314150-17d6-4c36-bab9-49cf38293ea3" targetNamespace="http://schemas.microsoft.com/office/2006/metadata/properties" ma:root="true" ma:fieldsID="b320da244ecc769aa9541d299bf201ed" ns2:_="">
    <xsd:import namespace="b7314150-17d6-4c36-bab9-49cf38293ea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314150-17d6-4c36-bab9-49cf38293e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DD96CBE-98A6-4694-A2BD-18012AAED5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314150-17d6-4c36-bab9-49cf38293e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B1B65A7-A92E-4DB9-B641-2CE487C36BB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097304F2-5B45-4BD6-8428-08324794446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Tabela_Serviços (2)</vt:lpstr>
      <vt:lpstr>Tabela_Serviços</vt:lpstr>
      <vt:lpstr>Folha_Pagamento</vt:lpstr>
      <vt:lpstr>Despesas_2025</vt:lpstr>
      <vt:lpstr>Fluxo de Caixa</vt:lpstr>
      <vt:lpstr>Controle_2025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ExcelenteJoao</dc:creator>
  <cp:lastModifiedBy>NEUSA IRMA DE OLIVEIRA</cp:lastModifiedBy>
  <cp:lastPrinted>2026-04-15T17:25:53Z</cp:lastPrinted>
  <dcterms:created xsi:type="dcterms:W3CDTF">2022-08-02T21:56:31Z</dcterms:created>
  <dcterms:modified xsi:type="dcterms:W3CDTF">2026-04-15T18:24:01Z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0x0101006CC1458CC37B0444BA56125A6038E995</vt:lpwstr>
  </property>
</Properties>
</file>